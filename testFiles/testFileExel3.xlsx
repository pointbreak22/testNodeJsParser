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qiviad\Desktop\тест\"/>
    </mc:Choice>
  </mc:AlternateContent>
  <bookViews>
    <workbookView xWindow="0" yWindow="600" windowWidth="12465" windowHeight="12300"/>
  </bookViews>
  <sheets>
    <sheet name="Одежда" sheetId="2" r:id="rId1"/>
    <sheet name="Справочники" sheetId="3" r:id="rId2"/>
    <sheet name="ТНВЭД" sheetId="4" r:id="rId3"/>
    <sheet name="Этикетки" sheetId="5" r:id="rId4"/>
  </sheets>
  <externalReferences>
    <externalReference r:id="rId5"/>
  </externalReferences>
  <definedNames>
    <definedName name="_xlnm._FilterDatabase" localSheetId="1" hidden="1">Справочники!$A$10:$C$71</definedName>
    <definedName name="Данет">[1]Этикетки!$B$221:$B$222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88" i="2" l="1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R156" i="3" l="1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Q2" i="3"/>
  <c r="Q3" i="3" s="1"/>
  <c r="R1" i="3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R2" i="3" l="1"/>
  <c r="Q4" i="3"/>
  <c r="R3" i="3"/>
  <c r="R4" i="3" l="1"/>
  <c r="Q5" i="3"/>
  <c r="Q6" i="3" l="1"/>
  <c r="R5" i="3"/>
  <c r="R6" i="3" l="1"/>
  <c r="Q7" i="3"/>
  <c r="Q8" i="3" l="1"/>
  <c r="R7" i="3"/>
  <c r="R8" i="3" l="1"/>
  <c r="Q9" i="3"/>
  <c r="R9" i="3" l="1"/>
  <c r="Q10" i="3"/>
  <c r="R10" i="3" l="1"/>
  <c r="Q11" i="3"/>
  <c r="Q12" i="3" l="1"/>
  <c r="R12" i="3" s="1"/>
  <c r="R11" i="3"/>
</calcChain>
</file>

<file path=xl/comments1.xml><?xml version="1.0" encoding="utf-8"?>
<comments xmlns="http://schemas.openxmlformats.org/spreadsheetml/2006/main">
  <authors>
    <author>WalrusQP</author>
  </authors>
  <commentList>
    <comment ref="G66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67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69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70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7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79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0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4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7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8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89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90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96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04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0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09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10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27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5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53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6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8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82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183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213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214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26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38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4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6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70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7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8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86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387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498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511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523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555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556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  <comment ref="G557" authorId="0" shapeId="0">
      <text>
        <r>
          <rPr>
            <sz val="9"/>
            <color indexed="81"/>
            <rFont val="Tahoma"/>
            <family val="2"/>
            <charset val="204"/>
          </rPr>
          <t>Цвет товара отсутствует в справочнике</t>
        </r>
      </text>
    </comment>
  </commentList>
</comments>
</file>

<file path=xl/sharedStrings.xml><?xml version="1.0" encoding="utf-8"?>
<sst xmlns="http://schemas.openxmlformats.org/spreadsheetml/2006/main" count="10565" uniqueCount="2011">
  <si>
    <t>Название Организации</t>
  </si>
  <si>
    <t>Разделить товар по GTIN?</t>
  </si>
  <si>
    <t>Нет</t>
  </si>
  <si>
    <t>ИНН</t>
  </si>
  <si>
    <t>(размеру,артикулу,бренду)</t>
  </si>
  <si>
    <t>ID ЭДО ЛАЙТ</t>
  </si>
  <si>
    <t>Код ТНВЭД</t>
  </si>
  <si>
    <t>Полное наименование товара</t>
  </si>
  <si>
    <t>Товарный знак</t>
  </si>
  <si>
    <t>Модель / артикул производителя</t>
  </si>
  <si>
    <t>Вид товара</t>
  </si>
  <si>
    <t>Цвет</t>
  </si>
  <si>
    <t>Целевой пол</t>
  </si>
  <si>
    <t>Размер одежды / изделия</t>
  </si>
  <si>
    <t>Состав</t>
  </si>
  <si>
    <t>Номер технического регламента</t>
  </si>
  <si>
    <t>Страна Производства</t>
  </si>
  <si>
    <t>Кол-во</t>
  </si>
  <si>
    <t>Декларация и сертификация</t>
  </si>
  <si>
    <t>Код товара</t>
  </si>
  <si>
    <t>Tnved</t>
  </si>
  <si>
    <t>2478</t>
  </si>
  <si>
    <t>2504</t>
  </si>
  <si>
    <t>13914</t>
  </si>
  <si>
    <t>12</t>
  </si>
  <si>
    <t>36</t>
  </si>
  <si>
    <t>14013</t>
  </si>
  <si>
    <t>35</t>
  </si>
  <si>
    <t>2483</t>
  </si>
  <si>
    <t>13933</t>
  </si>
  <si>
    <t>13836</t>
  </si>
  <si>
    <t>Страна</t>
  </si>
  <si>
    <t>количество</t>
  </si>
  <si>
    <t>iskit</t>
  </si>
  <si>
    <t>Сертификация</t>
  </si>
  <si>
    <t>GTIN</t>
  </si>
  <si>
    <t>value</t>
  </si>
  <si>
    <t>type</t>
  </si>
  <si>
    <r>
      <t xml:space="preserve">Информация по нужному коду на листе </t>
    </r>
    <r>
      <rPr>
        <u/>
        <sz val="10"/>
        <color theme="10"/>
        <rFont val="Arial"/>
        <family val="2"/>
        <charset val="204"/>
      </rPr>
      <t>по ссылке</t>
    </r>
  </si>
  <si>
    <t>Полное наименование товара будет отражено на этикетке. Если текст подсвечивается красным, значит необходимо сократить наименование товара.</t>
  </si>
  <si>
    <t>В данном столбце указывается бренд товара.</t>
  </si>
  <si>
    <t>В данном столбце можно выбрать что будет описываться, артикул или модель товара.</t>
  </si>
  <si>
    <t>В данном столбце описываете артикул или модель товара. В зависимости от того, что выбрали в предыдущем столбце.</t>
  </si>
  <si>
    <t>В данном столбце выбираете из списка вид вашего товара</t>
  </si>
  <si>
    <t>В данном столбце выбираете из списка цвет вашего товара. Если у вас несколько цветов, выбираете разноцветный.</t>
  </si>
  <si>
    <t>В данном столбце выбираете пол целевого потребителя вашего товара.</t>
  </si>
  <si>
    <t>В данном столбце выбираете систему измерения размеров. Если размер универсальный, выбираем тип Международный.</t>
  </si>
  <si>
    <t>В данном столбце вносите размер вашего изделия. Если размер универсальный, выбираем размер ONESIZE.</t>
  </si>
  <si>
    <t>В данном столбце описываете состав вашего изделия.</t>
  </si>
  <si>
    <t>В данном столбце выбираете код ТНВЭД вашего товара. При нажатии на эту ячейку вас перекинет на лист с описанием кодов ТНВЭД.</t>
  </si>
  <si>
    <t>Текстовое значение</t>
  </si>
  <si>
    <t>В данном столбце выбираете из списка страну производства вашего товара.</t>
  </si>
  <si>
    <t>В данном столбце указываете количество вашего товара</t>
  </si>
  <si>
    <t>не заполнять</t>
  </si>
  <si>
    <t>Если у вас есть наши декларации, то можете вписать ее сюда в формате ДЕАЭС N RU Д-RU.РА04.В.68200/24 от 07.06.2024</t>
  </si>
  <si>
    <t>Артикул</t>
  </si>
  <si>
    <t>БЮСТГАЛЬТЕР</t>
  </si>
  <si>
    <t>БЕЖЕВЫЙ</t>
  </si>
  <si>
    <t>ЖЕНСКИЙ</t>
  </si>
  <si>
    <t>РОССИЯ</t>
  </si>
  <si>
    <t>70A</t>
  </si>
  <si>
    <t>6212109000</t>
  </si>
  <si>
    <t>ТР ТС 017/2011 "О безопасности продукции легкой промышленности"</t>
  </si>
  <si>
    <t>КИТАЙ</t>
  </si>
  <si>
    <t>ДЕАЭС N RU Д-RU.РА04.В.68200/24 от 07.06.2024</t>
  </si>
  <si>
    <t>Бюстгальтеры, корсеты, грации, пояса</t>
  </si>
  <si>
    <t>Размер одежды / изделия(тип)</t>
  </si>
  <si>
    <t>65AA</t>
  </si>
  <si>
    <t>AA</t>
  </si>
  <si>
    <t>АНТРАЦИТОВЫЙ</t>
  </si>
  <si>
    <t>6212101000</t>
  </si>
  <si>
    <t>ТР ТС 007/2011 "О безопасности продукции, предназначенной для детей и подростков"</t>
  </si>
  <si>
    <t>Код категории</t>
  </si>
  <si>
    <t>214958</t>
  </si>
  <si>
    <t>БЮСТГАЛЬТЕР БАЛКОНЕТ</t>
  </si>
  <si>
    <t>Международный</t>
  </si>
  <si>
    <t>70AA</t>
  </si>
  <si>
    <t>A</t>
  </si>
  <si>
    <t>МУЖСКОЙ</t>
  </si>
  <si>
    <t>Наименование атрибута</t>
  </si>
  <si>
    <t>Значение атрибута</t>
  </si>
  <si>
    <t>ВЬЕТНАМ</t>
  </si>
  <si>
    <t>БЮСТГАЛЬТЕР БАНДО</t>
  </si>
  <si>
    <t>75AA</t>
  </si>
  <si>
    <t>B</t>
  </si>
  <si>
    <t>БЕЖЕВЫЙ МЕЛАНЖ</t>
  </si>
  <si>
    <t>УНИВЕРСАЛЬНЫЙ (УНИСЕКС)</t>
  </si>
  <si>
    <t>6212300000</t>
  </si>
  <si>
    <t>ИТАЛИЯ</t>
  </si>
  <si>
    <t>БЮСТГАЛЬТЕР БЕЗ БРЕТЕЛЕК</t>
  </si>
  <si>
    <t>80AA</t>
  </si>
  <si>
    <t>C</t>
  </si>
  <si>
    <t>БЕЛО-РОЗОВЫЙ</t>
  </si>
  <si>
    <t>6212200000</t>
  </si>
  <si>
    <t>ТУРЦИЯ</t>
  </si>
  <si>
    <t>БЮСТГАЛЬТЕР БЕЗ КОСТОЧЕК</t>
  </si>
  <si>
    <t>85AA</t>
  </si>
  <si>
    <t>D</t>
  </si>
  <si>
    <t>БЕЛЫЙ</t>
  </si>
  <si>
    <t>6212900000</t>
  </si>
  <si>
    <t>Модель / артикул производителя(тип)</t>
  </si>
  <si>
    <t>Модель</t>
  </si>
  <si>
    <t>ФРАНЦИЯ</t>
  </si>
  <si>
    <t>БЮСТГАЛЬТЕР БЕЗ СПИНКИ</t>
  </si>
  <si>
    <t>90AA</t>
  </si>
  <si>
    <t>DD</t>
  </si>
  <si>
    <t>БЕЛЫЙ/СЕРЫЙ</t>
  </si>
  <si>
    <t>АВСТРАЛИЯ</t>
  </si>
  <si>
    <t>БЮСТГАЛЬТЕР БЕСШОВНЫЙ</t>
  </si>
  <si>
    <t>95AA</t>
  </si>
  <si>
    <t>E</t>
  </si>
  <si>
    <t>БИРЮЗОВЫЙ</t>
  </si>
  <si>
    <t>Модель / Артикул</t>
  </si>
  <si>
    <t>АВСТРИЯ</t>
  </si>
  <si>
    <t>БЮСТГАЛЬТЕР БРА</t>
  </si>
  <si>
    <t>100AA</t>
  </si>
  <si>
    <t>F</t>
  </si>
  <si>
    <t>БОРДОВЫЙ</t>
  </si>
  <si>
    <t>АЗЕРБАЙДЖАН</t>
  </si>
  <si>
    <t>БЮСТГАЛЬТЕР БРАЛЕТТ</t>
  </si>
  <si>
    <t>105AA</t>
  </si>
  <si>
    <t>G</t>
  </si>
  <si>
    <t>БРОНЗОВЫЙ</t>
  </si>
  <si>
    <t>АЛАНДСКИЕ ОСТРОВА</t>
  </si>
  <si>
    <t>БЮСТГАЛЬТЕР ДЕМИ</t>
  </si>
  <si>
    <t>110AA</t>
  </si>
  <si>
    <t>H</t>
  </si>
  <si>
    <t>В АССОРТИМЕНТЕ</t>
  </si>
  <si>
    <t>АЛБАНИЯ</t>
  </si>
  <si>
    <t>БЮСТГАЛЬТЕР ДЛЯ КОРМЛЕНИЯ</t>
  </si>
  <si>
    <t>115AA</t>
  </si>
  <si>
    <t>I</t>
  </si>
  <si>
    <t>ВАНИЛЬ</t>
  </si>
  <si>
    <t>АЛЖИР</t>
  </si>
  <si>
    <t>БЮСТГАЛЬТЕР КЛАССИЧЕСКИЙ</t>
  </si>
  <si>
    <t>120AA</t>
  </si>
  <si>
    <t>J</t>
  </si>
  <si>
    <t>ВИШНЯ</t>
  </si>
  <si>
    <t>АМЕРИКАНСКИЕ ВИРГИНСКИЕ ОСТРОВА</t>
  </si>
  <si>
    <t>БЮСТГАЛЬТЕР КОРБЕЙ</t>
  </si>
  <si>
    <t>65A</t>
  </si>
  <si>
    <t>ГОЛУБОЙ</t>
  </si>
  <si>
    <t>АМЕРИКАНСКОЕ САМОА</t>
  </si>
  <si>
    <t>БЮСТГАЛЬТЕР МАЙКА</t>
  </si>
  <si>
    <t>ЖЁЛТЫЙ</t>
  </si>
  <si>
    <t>АНГИЛЬЯ</t>
  </si>
  <si>
    <t>БЮСТГАЛЬТЕР МИНИМАЙЗЕР</t>
  </si>
  <si>
    <t>75A</t>
  </si>
  <si>
    <t>ЗЕЛЁНЫЙ</t>
  </si>
  <si>
    <t>АНГОЛА</t>
  </si>
  <si>
    <t>БЮСТГАЛЬТЕР ПУШ-АП</t>
  </si>
  <si>
    <t>80A</t>
  </si>
  <si>
    <t>ЗОЛОТИСТЫЙ</t>
  </si>
  <si>
    <t>АНДОРРА</t>
  </si>
  <si>
    <t>БЮСТГАЛЬТЕР С ГЛУБОКИМ ВЫРЕЗОМ</t>
  </si>
  <si>
    <t>85A</t>
  </si>
  <si>
    <t>ЗОЛОТОЙ</t>
  </si>
  <si>
    <t>АНТАРКТИДА</t>
  </si>
  <si>
    <t>БЮСТГАЛЬТЕР С МЯГКОЙ ЧАШКОЙ</t>
  </si>
  <si>
    <t>90A</t>
  </si>
  <si>
    <t>ИЗУМРУДНЫЙ</t>
  </si>
  <si>
    <t>АНТИГУА И БАРБУДА</t>
  </si>
  <si>
    <t>БЮСТГАЛЬТЕР СИЛИКОНОВЫЙ</t>
  </si>
  <si>
    <t>95A</t>
  </si>
  <si>
    <t>КАПУЧИНО</t>
  </si>
  <si>
    <t>АРГЕНТИНА</t>
  </si>
  <si>
    <t>БЮСТГАЛЬТЕР ТОП</t>
  </si>
  <si>
    <t>100A</t>
  </si>
  <si>
    <t>КИРПИЧНЫЙ</t>
  </si>
  <si>
    <t>АРМЕНИЯ</t>
  </si>
  <si>
    <t>БЮСТГАЛЬТЕР ТРЕУГОЛЬНЫЙ</t>
  </si>
  <si>
    <t>105A</t>
  </si>
  <si>
    <t>КОРАЛЛОВЫЙ</t>
  </si>
  <si>
    <t>АРУБА</t>
  </si>
  <si>
    <t>ГРАЦИЯ</t>
  </si>
  <si>
    <t>110A</t>
  </si>
  <si>
    <t>КОРИЧНЕВЫЙ</t>
  </si>
  <si>
    <t>АФГАНИСТАН</t>
  </si>
  <si>
    <t>ЛИФ-БИКИНИ</t>
  </si>
  <si>
    <t>115A</t>
  </si>
  <si>
    <t>КРАСНЫЙ</t>
  </si>
  <si>
    <t>БАГАМЫ</t>
  </si>
  <si>
    <t>ПОЛУГРАЦИЯ</t>
  </si>
  <si>
    <t>120A</t>
  </si>
  <si>
    <t>КРЕМОВЫЙ</t>
  </si>
  <si>
    <t>БАНГЛАДЕШ</t>
  </si>
  <si>
    <t>65B</t>
  </si>
  <si>
    <t>ЛАЙМ</t>
  </si>
  <si>
    <t>БАРБАДОС</t>
  </si>
  <si>
    <t>70B</t>
  </si>
  <si>
    <t>ЛЕОПАРД</t>
  </si>
  <si>
    <t>БАХРЕЙН</t>
  </si>
  <si>
    <t>75B</t>
  </si>
  <si>
    <t>ЛИЛОВЫЙ</t>
  </si>
  <si>
    <t>БЕЛИЗ</t>
  </si>
  <si>
    <t>80B</t>
  </si>
  <si>
    <t>МАЛИНОВЫЙ</t>
  </si>
  <si>
    <t>Беларусь</t>
  </si>
  <si>
    <t>85B</t>
  </si>
  <si>
    <t>МЕДНЫЙ</t>
  </si>
  <si>
    <t>БЕЛЬГИЯ</t>
  </si>
  <si>
    <t>90B</t>
  </si>
  <si>
    <t>МОЛОЧНЫЙ</t>
  </si>
  <si>
    <t>БЕНИН</t>
  </si>
  <si>
    <t>95B</t>
  </si>
  <si>
    <t>МЯТНЫЙ</t>
  </si>
  <si>
    <t>БЕРМУДЫ</t>
  </si>
  <si>
    <t>100B</t>
  </si>
  <si>
    <t>НИКЕЛЬ</t>
  </si>
  <si>
    <t>БОЛГАРИЯ</t>
  </si>
  <si>
    <t>105B</t>
  </si>
  <si>
    <t>ОЛИВКОВЫЙ</t>
  </si>
  <si>
    <t>БОЛИВИЯ</t>
  </si>
  <si>
    <t>110B</t>
  </si>
  <si>
    <t>ОРАНЖЕВЫЙ</t>
  </si>
  <si>
    <t>БОСНИЯ И ГЕРЦЕГОВИНА</t>
  </si>
  <si>
    <t>115B</t>
  </si>
  <si>
    <t>ПЕРСИКОВЫЙ</t>
  </si>
  <si>
    <t>БОТСВАНА</t>
  </si>
  <si>
    <t>120B</t>
  </si>
  <si>
    <t>ПЕСОЧНЫЙ</t>
  </si>
  <si>
    <t>БРАЗИЛИЯ</t>
  </si>
  <si>
    <t>65C</t>
  </si>
  <si>
    <t>ПРОЗРАЧНЫЙ</t>
  </si>
  <si>
    <t>БРИТАНСКАЯ ТЕРРИТОРИЯ В ИНДИЙСКОМ ОКЕАНЕ</t>
  </si>
  <si>
    <t>70C</t>
  </si>
  <si>
    <t>ПУРПУРНЫЙ</t>
  </si>
  <si>
    <t>БРИТАНСКИЕ ВИРГИНСКИЕ ОСТРОВА</t>
  </si>
  <si>
    <t>75C</t>
  </si>
  <si>
    <t>РАЗНОЦВЕТНЫЙ</t>
  </si>
  <si>
    <t>БРУНЕЙ ДАРУССАЛАМ</t>
  </si>
  <si>
    <t>80C</t>
  </si>
  <si>
    <t>РОЗОВО-БЕЖЕВЫЙ</t>
  </si>
  <si>
    <t>БУРКИНА-ФАСО</t>
  </si>
  <si>
    <t>85C</t>
  </si>
  <si>
    <t>РОЗОВЫЙ</t>
  </si>
  <si>
    <t>БУРУНДИ</t>
  </si>
  <si>
    <t>90C</t>
  </si>
  <si>
    <t>РЫЖИЙ</t>
  </si>
  <si>
    <t>БУТАН</t>
  </si>
  <si>
    <t>95C</t>
  </si>
  <si>
    <t>СВЕТЛО-БЕЖЕВЫЙ</t>
  </si>
  <si>
    <t>ВАНУАТУ</t>
  </si>
  <si>
    <t>100C</t>
  </si>
  <si>
    <t>СВЕТЛО-ЗЕЛЕНЫЙ</t>
  </si>
  <si>
    <t>ВАТИКАНСКОЕ ГОСУДАРСТВО (ПАПСКИЙ ПРЕСТОЛ)</t>
  </si>
  <si>
    <t>105C</t>
  </si>
  <si>
    <t>СВЕТЛО-КОРИЧНЕВЫЙ</t>
  </si>
  <si>
    <t>ВЕЛИКОБРИТАНИЯ</t>
  </si>
  <si>
    <t>110C</t>
  </si>
  <si>
    <t>СВЕТЛО-РОЗОВЫЙ</t>
  </si>
  <si>
    <t>ВЕНГРИЯ</t>
  </si>
  <si>
    <t>115C</t>
  </si>
  <si>
    <t>СВЕТЛО-СЕРЫЙ</t>
  </si>
  <si>
    <t>ВЕНЕСУЭЛА</t>
  </si>
  <si>
    <t>120C</t>
  </si>
  <si>
    <t>СВЕТЛО-СЕРЫЙ МЕЛАНЖ</t>
  </si>
  <si>
    <t>ВНЕШНИЕ МАЛЫЕ ОСТРОВА (США)</t>
  </si>
  <si>
    <t>65D</t>
  </si>
  <si>
    <t>СВЕТЛО-СИНИЙ</t>
  </si>
  <si>
    <t>ВОСТОЧНЫЙ ТИМОР</t>
  </si>
  <si>
    <t>70D</t>
  </si>
  <si>
    <t>СВЕТЛО-ФИОЛЕТОВЫЙ</t>
  </si>
  <si>
    <t>75D</t>
  </si>
  <si>
    <t>СЕРЕБРЯНЫЙ</t>
  </si>
  <si>
    <t>ГАБОН</t>
  </si>
  <si>
    <t>80D</t>
  </si>
  <si>
    <t>СЕРО-ГОЛУБОЙ</t>
  </si>
  <si>
    <t>ГАИТИ</t>
  </si>
  <si>
    <t>85D</t>
  </si>
  <si>
    <t>СЕРО-ЖЕЛТЫЙ</t>
  </si>
  <si>
    <t>ГАМБИЯ</t>
  </si>
  <si>
    <t>90D</t>
  </si>
  <si>
    <t>СЕРЫЙ</t>
  </si>
  <si>
    <t>ГАНА</t>
  </si>
  <si>
    <t>95D</t>
  </si>
  <si>
    <t>СЕРЫЙ МЕЛАНЖ</t>
  </si>
  <si>
    <t>ГВАДЕЛУПА</t>
  </si>
  <si>
    <t>100D</t>
  </si>
  <si>
    <t>СИНИЙ</t>
  </si>
  <si>
    <t>ГВАТЕМАЛА</t>
  </si>
  <si>
    <t>105D</t>
  </si>
  <si>
    <t>СИРЕНЕВЫЙ</t>
  </si>
  <si>
    <t>ГВИНЕЯ</t>
  </si>
  <si>
    <t>110D</t>
  </si>
  <si>
    <t>СЛИВОВЫЙ</t>
  </si>
  <si>
    <t>ГВИНЕЯ-БИСАУ</t>
  </si>
  <si>
    <t>115D</t>
  </si>
  <si>
    <t>СЛОНОВАЯ КОСТЬ</t>
  </si>
  <si>
    <t>ГЕРМАНИЯ</t>
  </si>
  <si>
    <t>120D</t>
  </si>
  <si>
    <t>ТЕМНО-БЕЖЕВЫЙ</t>
  </si>
  <si>
    <t>ГИБРАЛТАР</t>
  </si>
  <si>
    <t>65DD</t>
  </si>
  <si>
    <t>ТЕМНО-ЗЕЛЕНЫЙ</t>
  </si>
  <si>
    <t>ГОНДУРАС</t>
  </si>
  <si>
    <t>70DD</t>
  </si>
  <si>
    <t>ТЕМНО-КОРИЧНЕВЫЙ</t>
  </si>
  <si>
    <t>ГОНКОНГ</t>
  </si>
  <si>
    <t>75DD</t>
  </si>
  <si>
    <t>ТЕМНО-РОЗОВЫЙ</t>
  </si>
  <si>
    <t>ГРЕНАДА</t>
  </si>
  <si>
    <t>80DD</t>
  </si>
  <si>
    <t>ТЕМНО-СЕРЫЙ</t>
  </si>
  <si>
    <t>ГРЕНЛАНДИЯ</t>
  </si>
  <si>
    <t>85DD</t>
  </si>
  <si>
    <t>ТЕМНО-СЕРЫЙ МЕЛАНЖ</t>
  </si>
  <si>
    <t>ГРЕЦИЯ</t>
  </si>
  <si>
    <t>90DD</t>
  </si>
  <si>
    <t>ТЕМНО-СИНИЙ</t>
  </si>
  <si>
    <t>ГРУЗИЯ</t>
  </si>
  <si>
    <t>95DD</t>
  </si>
  <si>
    <t>ТЕМНО-ФИОЛЕТОВЫЙ</t>
  </si>
  <si>
    <t>ГУАМ</t>
  </si>
  <si>
    <t>100DD</t>
  </si>
  <si>
    <t>ТЕРРАКОТОВЫЙ</t>
  </si>
  <si>
    <t>ДАНИЯ</t>
  </si>
  <si>
    <t>105DD</t>
  </si>
  <si>
    <t>ФИОЛЕТОВЫЙ</t>
  </si>
  <si>
    <t>ДЕМОКРАТИЧЕСКАЯ РЕСПУБЛИКА КОНГО</t>
  </si>
  <si>
    <t>110DD</t>
  </si>
  <si>
    <t>ФУКСИЯ</t>
  </si>
  <si>
    <t>ДЖИБУТИ</t>
  </si>
  <si>
    <t>115DD</t>
  </si>
  <si>
    <t>ХАКИ</t>
  </si>
  <si>
    <t>ДОМИНИКАНА</t>
  </si>
  <si>
    <t>120DD</t>
  </si>
  <si>
    <t>ХАКИ/ОЛИВКОВЫЙ</t>
  </si>
  <si>
    <t>ДОМИНИКАНСКАЯ РЕСПУБЛИКА</t>
  </si>
  <si>
    <t>65E</t>
  </si>
  <si>
    <t>ЧЕРНЫЙ</t>
  </si>
  <si>
    <t>ЕГИПЕТ</t>
  </si>
  <si>
    <t>70E</t>
  </si>
  <si>
    <t>ЧЕРНЫЙ/БЕЛЫЙ</t>
  </si>
  <si>
    <t>ЗАМБИЯ</t>
  </si>
  <si>
    <t>75E</t>
  </si>
  <si>
    <t>ЧЕРНЫЙ/ЗОЛОТИСТЫЙ</t>
  </si>
  <si>
    <t>ЗАПАДНАЯ САХАРА</t>
  </si>
  <si>
    <t>80E</t>
  </si>
  <si>
    <t>ЧЕРНЫЙ/СЕРЫЙ</t>
  </si>
  <si>
    <t>ЗИМБАБВЕ</t>
  </si>
  <si>
    <t>85E</t>
  </si>
  <si>
    <t>ШОКОЛАДНЫЙ</t>
  </si>
  <si>
    <t>ИЗРАИЛЬ</t>
  </si>
  <si>
    <t>90E</t>
  </si>
  <si>
    <t>ЗЕЛЕНЫЙ</t>
  </si>
  <si>
    <t>ИНДИЯ</t>
  </si>
  <si>
    <t>95E</t>
  </si>
  <si>
    <t>ЖЕЛТЫЙ</t>
  </si>
  <si>
    <t>ИНДОНЕЗИЯ</t>
  </si>
  <si>
    <t>100E</t>
  </si>
  <si>
    <t>Абрикосовый</t>
  </si>
  <si>
    <t>ИОРДАНИЯ</t>
  </si>
  <si>
    <t>105E</t>
  </si>
  <si>
    <t>Абрикосовый Крайола</t>
  </si>
  <si>
    <t>ИРАК</t>
  </si>
  <si>
    <t>110E</t>
  </si>
  <si>
    <t>Агатовый серый</t>
  </si>
  <si>
    <t>ИРАН (ИСЛАМСКАЯ РЕСПУБЛИКА)</t>
  </si>
  <si>
    <t>115E</t>
  </si>
  <si>
    <t>Аквамариновый</t>
  </si>
  <si>
    <t>ИРЛАНДИЯ</t>
  </si>
  <si>
    <t>120E</t>
  </si>
  <si>
    <t>Аквамариновый Крайола</t>
  </si>
  <si>
    <t>ИСЛАНДИЯ</t>
  </si>
  <si>
    <t>65F</t>
  </si>
  <si>
    <t>Ализариновый красный</t>
  </si>
  <si>
    <t>ИСПАНИЯ</t>
  </si>
  <si>
    <t>70F</t>
  </si>
  <si>
    <t>Алый</t>
  </si>
  <si>
    <t>75F</t>
  </si>
  <si>
    <t>Амарантово-пурпурный</t>
  </si>
  <si>
    <t>ЙЕМЕН</t>
  </si>
  <si>
    <t>80F</t>
  </si>
  <si>
    <t>Амарантово-розовый</t>
  </si>
  <si>
    <t>КАБО-ВЕРДЕ</t>
  </si>
  <si>
    <t>85F</t>
  </si>
  <si>
    <t>Амарантовый</t>
  </si>
  <si>
    <t>КАЗАХСТАН</t>
  </si>
  <si>
    <t>90F</t>
  </si>
  <si>
    <t>Амарантовый глубоко-пурпурный</t>
  </si>
  <si>
    <t>КАЙМАНОВЫ ОСТРОВА</t>
  </si>
  <si>
    <t>95F</t>
  </si>
  <si>
    <t>Амарантовый маджента</t>
  </si>
  <si>
    <t>КАМБОДЖА</t>
  </si>
  <si>
    <t>100F</t>
  </si>
  <si>
    <t>Амарантовый светло-вишневый</t>
  </si>
  <si>
    <t>КАМЕРУН</t>
  </si>
  <si>
    <t>105F</t>
  </si>
  <si>
    <t>Американский розовый</t>
  </si>
  <si>
    <t>КАНАДА</t>
  </si>
  <si>
    <t>110F</t>
  </si>
  <si>
    <t>Аметистовый</t>
  </si>
  <si>
    <t>КАТАР</t>
  </si>
  <si>
    <t>115F</t>
  </si>
  <si>
    <t>Античная латунь</t>
  </si>
  <si>
    <t>КЕНИЯ</t>
  </si>
  <si>
    <t>120F</t>
  </si>
  <si>
    <t>Антрацитово-серый</t>
  </si>
  <si>
    <t>КИПР</t>
  </si>
  <si>
    <t>Антрацитовый</t>
  </si>
  <si>
    <t>КИРГИЗИЯ</t>
  </si>
  <si>
    <t>Арлекин</t>
  </si>
  <si>
    <t>КИРИБАТИ</t>
  </si>
  <si>
    <t>Аспидно-серый</t>
  </si>
  <si>
    <t>Аспидно-синий</t>
  </si>
  <si>
    <t>КОКОСОВЫЕ ОСТРОВА (ОСТРОВА КИЛИНГ)</t>
  </si>
  <si>
    <t>Бабушкины яблоки</t>
  </si>
  <si>
    <t>КОЛУМБИЯ</t>
  </si>
  <si>
    <t>Базальтово-серый</t>
  </si>
  <si>
    <t>КОМОРСКИЕ ОСТРОВА</t>
  </si>
  <si>
    <t>Баклажанный Крайола</t>
  </si>
  <si>
    <t>КОСТА-РИКА</t>
  </si>
  <si>
    <t>Баклажановый</t>
  </si>
  <si>
    <t>КОТ-Д'ИВУАР</t>
  </si>
  <si>
    <t>Баклажановый Крайола</t>
  </si>
  <si>
    <t>КУБА</t>
  </si>
  <si>
    <t>Бананомания</t>
  </si>
  <si>
    <t>КУВЕЙТ</t>
  </si>
  <si>
    <t>Барвинок, перванш</t>
  </si>
  <si>
    <t>ЛАОССКАЯ НАРОДНАЯ ДЕМОКРАТИЧЕСКАЯ РЕСПУБЛИКА</t>
  </si>
  <si>
    <t>Барвинок Крайола</t>
  </si>
  <si>
    <t>ЛАТВИЯ</t>
  </si>
  <si>
    <t>65G</t>
  </si>
  <si>
    <t>Бедра испуганной нимфы</t>
  </si>
  <si>
    <t>ЛЕСОТО</t>
  </si>
  <si>
    <t>70G</t>
  </si>
  <si>
    <t>Бежево-коричневый</t>
  </si>
  <si>
    <t>ЛИБЕРИЯ</t>
  </si>
  <si>
    <t>75G</t>
  </si>
  <si>
    <t>Бежево-красный</t>
  </si>
  <si>
    <t>ЛИВАН</t>
  </si>
  <si>
    <t>80G</t>
  </si>
  <si>
    <t>Бежево-серый</t>
  </si>
  <si>
    <t>ЛИВИЯ</t>
  </si>
  <si>
    <t>85G</t>
  </si>
  <si>
    <t>Бежевый</t>
  </si>
  <si>
    <t>ЛИТВА</t>
  </si>
  <si>
    <t>90G</t>
  </si>
  <si>
    <t>Бело-алюминиевый</t>
  </si>
  <si>
    <t>ЛИХТЕНШТЕЙН</t>
  </si>
  <si>
    <t>95G</t>
  </si>
  <si>
    <t>Бело-зеленый</t>
  </si>
  <si>
    <t>ЛЮКСЕМБУРГ</t>
  </si>
  <si>
    <t>100G</t>
  </si>
  <si>
    <t>Белоснежный</t>
  </si>
  <si>
    <t>МАВРИКИЙ</t>
  </si>
  <si>
    <t>105G</t>
  </si>
  <si>
    <t>Белый</t>
  </si>
  <si>
    <t>МАВРИТАНИЯ</t>
  </si>
  <si>
    <t>110G</t>
  </si>
  <si>
    <t>Белый антик</t>
  </si>
  <si>
    <t>МАДАГАСКАР</t>
  </si>
  <si>
    <t>115G</t>
  </si>
  <si>
    <t>Белый навахо</t>
  </si>
  <si>
    <t>МАЙОТТА</t>
  </si>
  <si>
    <t>120G</t>
  </si>
  <si>
    <t>Берлинская лазурь</t>
  </si>
  <si>
    <t>МАКАО</t>
  </si>
  <si>
    <t>65H</t>
  </si>
  <si>
    <t>Бирюзово-голубой Крайола</t>
  </si>
  <si>
    <t>МАЛАВИ</t>
  </si>
  <si>
    <t>70H</t>
  </si>
  <si>
    <t>Бирюзово-зеленый</t>
  </si>
  <si>
    <t>МАЛАЙЗИИЯ</t>
  </si>
  <si>
    <t>75H</t>
  </si>
  <si>
    <t>Бирюзово-синий</t>
  </si>
  <si>
    <t>МАЛИ</t>
  </si>
  <si>
    <t>80H</t>
  </si>
  <si>
    <t>Бирюзовый</t>
  </si>
  <si>
    <t>МАЛЬДИВЫ</t>
  </si>
  <si>
    <t>85H</t>
  </si>
  <si>
    <t>Бисквитный</t>
  </si>
  <si>
    <t>МАЛЬТА</t>
  </si>
  <si>
    <t>90H</t>
  </si>
  <si>
    <t>Бисмарк-фуриозо</t>
  </si>
  <si>
    <t>МАРОККО</t>
  </si>
  <si>
    <t>95H</t>
  </si>
  <si>
    <t>Бистр</t>
  </si>
  <si>
    <t>МАРТИНИКА</t>
  </si>
  <si>
    <t>100H</t>
  </si>
  <si>
    <t>Бледно-васильковый</t>
  </si>
  <si>
    <t>МАРШАЛЛОВЫ ОСТРОВА</t>
  </si>
  <si>
    <t>105H</t>
  </si>
  <si>
    <t>Бледно-желтый</t>
  </si>
  <si>
    <t>МЕКСИКА</t>
  </si>
  <si>
    <t>110H</t>
  </si>
  <si>
    <t>Бледно-зелено-серый</t>
  </si>
  <si>
    <t xml:space="preserve">МИКРОНЕЗИЯ, ОБЪЕДИНЕННЫЕ ГОСУДАРСТВА </t>
  </si>
  <si>
    <t>115H</t>
  </si>
  <si>
    <t>Бледно-зеленый</t>
  </si>
  <si>
    <t>МОЗАМБИК</t>
  </si>
  <si>
    <t>120H</t>
  </si>
  <si>
    <t>Бледно-золотистый</t>
  </si>
  <si>
    <t>МОЛДАВИЯ</t>
  </si>
  <si>
    <t>65I</t>
  </si>
  <si>
    <t>Бледно-карминный</t>
  </si>
  <si>
    <t>МОНАКО</t>
  </si>
  <si>
    <t>70I</t>
  </si>
  <si>
    <t>Бледно-каштановый</t>
  </si>
  <si>
    <t>МОНГОЛИЯ</t>
  </si>
  <si>
    <t>75I</t>
  </si>
  <si>
    <t>Бледно-коричневый</t>
  </si>
  <si>
    <t>МОНТСЕРРАТ</t>
  </si>
  <si>
    <t>80I</t>
  </si>
  <si>
    <t>Бледно-песочный</t>
  </si>
  <si>
    <t>МЬЯНМА</t>
  </si>
  <si>
    <t>85I</t>
  </si>
  <si>
    <t>Бледно-пурпурный</t>
  </si>
  <si>
    <t>НАМИБИЯ</t>
  </si>
  <si>
    <t>90I</t>
  </si>
  <si>
    <t>Бледно-розоватый</t>
  </si>
  <si>
    <t>НАУРУ</t>
  </si>
  <si>
    <t>95I</t>
  </si>
  <si>
    <t>Бледно-розовый</t>
  </si>
  <si>
    <t>НЕПАЛ</t>
  </si>
  <si>
    <t>100I</t>
  </si>
  <si>
    <t>Бледно-синий</t>
  </si>
  <si>
    <t>НИГЕР</t>
  </si>
  <si>
    <t>105I</t>
  </si>
  <si>
    <t>Бледно-фиолетовый</t>
  </si>
  <si>
    <t>НИГЕРИЯ</t>
  </si>
  <si>
    <t>110I</t>
  </si>
  <si>
    <t>Бледный весенний бутон</t>
  </si>
  <si>
    <t>НИДЕРЛАНДЫ</t>
  </si>
  <si>
    <t>115I</t>
  </si>
  <si>
    <t>Бледный желто-зеленый</t>
  </si>
  <si>
    <t>НИДЕРЛАНДЫ АНТИЛЬСКИЕ ОСТРОВА</t>
  </si>
  <si>
    <t>120I</t>
  </si>
  <si>
    <t>Бледный желто-розовый</t>
  </si>
  <si>
    <t>НИКАРАГУА</t>
  </si>
  <si>
    <t>65J</t>
  </si>
  <si>
    <t>Бледный зеленовато-желтый</t>
  </si>
  <si>
    <t>НИУЭ</t>
  </si>
  <si>
    <t>70J</t>
  </si>
  <si>
    <t>Бледный зеленый</t>
  </si>
  <si>
    <t>НОВАЯ ЗЕЛАНДИЯ</t>
  </si>
  <si>
    <t>75J</t>
  </si>
  <si>
    <t>Бледный красно-пурпурный</t>
  </si>
  <si>
    <t>НОВАЯ КАЛЕДОНИЯ</t>
  </si>
  <si>
    <t>80J</t>
  </si>
  <si>
    <t>Бледный оранжево-желтый</t>
  </si>
  <si>
    <t>НОРВЕГИЯ</t>
  </si>
  <si>
    <t>85J</t>
  </si>
  <si>
    <t>Бледный пурпурно-розовый</t>
  </si>
  <si>
    <t>ОБЪЕДИНЕННЫЕ АРАБСКИЕ ЭМИРАТЫ</t>
  </si>
  <si>
    <t>90J</t>
  </si>
  <si>
    <t>Бледный пурпурно-синий</t>
  </si>
  <si>
    <t>ОМАН</t>
  </si>
  <si>
    <t>95J</t>
  </si>
  <si>
    <t>Бледный серо-коричневый</t>
  </si>
  <si>
    <t>ОСТРОВ БУВЕ</t>
  </si>
  <si>
    <t>100J</t>
  </si>
  <si>
    <t>Бледный синий</t>
  </si>
  <si>
    <t>ОСТРОВ НОРФОЛК</t>
  </si>
  <si>
    <t>105J</t>
  </si>
  <si>
    <t>Бледный фиолетово-красный</t>
  </si>
  <si>
    <t>ОСТРОВ РОЖДЕСТВА</t>
  </si>
  <si>
    <t>110J</t>
  </si>
  <si>
    <t>Блестящий желто-зеленый</t>
  </si>
  <si>
    <t>ОСТРОВ СВЯТОЙ ЕЛЕНЫ</t>
  </si>
  <si>
    <t>115J</t>
  </si>
  <si>
    <t>Блестящий желтовато-зеленый</t>
  </si>
  <si>
    <t>ОСТРОВА КУКА</t>
  </si>
  <si>
    <t>120J</t>
  </si>
  <si>
    <t>Блестящий желтый</t>
  </si>
  <si>
    <t>ОСТРОВА ПИТКЭРН</t>
  </si>
  <si>
    <t>Блестящий зеленовато-желтый</t>
  </si>
  <si>
    <t>ПАКИСТАН</t>
  </si>
  <si>
    <t>Блестящий зеленовато-синий</t>
  </si>
  <si>
    <t>ПАЛАУ</t>
  </si>
  <si>
    <t>Блестящий зеленый</t>
  </si>
  <si>
    <t>ПАЛЕСТИНА</t>
  </si>
  <si>
    <t>Блестящий оранжевый</t>
  </si>
  <si>
    <t>ПАНАМА</t>
  </si>
  <si>
    <t>Блестящий пурпурно-розовый</t>
  </si>
  <si>
    <t>ПАПУА-НОВАЯ ГВИНЕЯ</t>
  </si>
  <si>
    <t>Блестящий пурпурно-синий</t>
  </si>
  <si>
    <t>ПАРАГВАЙ</t>
  </si>
  <si>
    <t>Блестящий пурпурный</t>
  </si>
  <si>
    <t>ПЕРУ</t>
  </si>
  <si>
    <t>Блестящий синевато-зеленый</t>
  </si>
  <si>
    <t>ПОЛЬША</t>
  </si>
  <si>
    <t>Блестящий синий</t>
  </si>
  <si>
    <t>ПОРТУГАЛИЯ</t>
  </si>
  <si>
    <t>Блестящий фиолетовый</t>
  </si>
  <si>
    <t>ПУЭРТО-РИКО</t>
  </si>
  <si>
    <t>Блошиный (Красновато-коричневый)</t>
  </si>
  <si>
    <t>РЕСПУБЛИКА КОНГО</t>
  </si>
  <si>
    <t>Бобровый</t>
  </si>
  <si>
    <t>РЕСПУБЛИКА КОРЕЯ</t>
  </si>
  <si>
    <t>Болгарский розовый</t>
  </si>
  <si>
    <t>РЕСПУБЛИКА МАКЕДОНИЯ, БЫВШАЯ ЮГОСЛАВСКАЯ РЕСПУБЛИКА</t>
  </si>
  <si>
    <t>Болотный</t>
  </si>
  <si>
    <t>РЕЮНЬОН</t>
  </si>
  <si>
    <t>Бордо (Красно-бордовый)</t>
  </si>
  <si>
    <t>РУАНДА</t>
  </si>
  <si>
    <t>Бордово-фиолетовый</t>
  </si>
  <si>
    <t>РУМЫНИЯ</t>
  </si>
  <si>
    <t>Бордовый</t>
  </si>
  <si>
    <t>САЛЬВАДОР</t>
  </si>
  <si>
    <t>Бороды Абдель-Керима</t>
  </si>
  <si>
    <t>САМОА</t>
  </si>
  <si>
    <t>Брезентово-серый</t>
  </si>
  <si>
    <t>САН-МАРИНО</t>
  </si>
  <si>
    <t>Бриллиантово-синий</t>
  </si>
  <si>
    <t>САН-ТОМЕ И ПРИНСИПИ</t>
  </si>
  <si>
    <t>Бриллиантовый оранжево-желтый</t>
  </si>
  <si>
    <t>САУДОВСКАЯ АРАВИЯ</t>
  </si>
  <si>
    <t>Бронзовый</t>
  </si>
  <si>
    <t>СВАЗИЛЕНД</t>
  </si>
  <si>
    <t>Бургундский</t>
  </si>
  <si>
    <t>СЕВЕРНЫЕ МАРИАНСКИЕ ОСТРОВА</t>
  </si>
  <si>
    <t>Бурый</t>
  </si>
  <si>
    <t>СЕЙШЕЛЬСКИЕ ОСТОРВА</t>
  </si>
  <si>
    <t>Бутылочно-зеленый</t>
  </si>
  <si>
    <t>СЕНЕГАЛ</t>
  </si>
  <si>
    <t>Ванильный</t>
  </si>
  <si>
    <t>СЕН-ПЬЕР И МИКЕЛОН</t>
  </si>
  <si>
    <t>Васильковый</t>
  </si>
  <si>
    <t>СЕНТ-ВИНСЕНТ И ГРЕНАДИНЫ</t>
  </si>
  <si>
    <t>Васильковый Крайола</t>
  </si>
  <si>
    <t>СЕНТ-КИТТС И НЕВИС</t>
  </si>
  <si>
    <t>Вердепешевый</t>
  </si>
  <si>
    <t>СЕНТ-ЛЮСИЯ</t>
  </si>
  <si>
    <t>Вердепомовый</t>
  </si>
  <si>
    <t>СЕРБИЯ</t>
  </si>
  <si>
    <t>Вересково-фиолетовый</t>
  </si>
  <si>
    <t>СИНГАПУР</t>
  </si>
  <si>
    <t>Весенне-зеленый (Зеленая весна)</t>
  </si>
  <si>
    <t>СИРИЯ</t>
  </si>
  <si>
    <t>Весенне-зеленый Крайола</t>
  </si>
  <si>
    <t>СЛОВАКИЯ</t>
  </si>
  <si>
    <t>Весенний бутон</t>
  </si>
  <si>
    <t>СЛОВЕНИЯ</t>
  </si>
  <si>
    <t>Византийский</t>
  </si>
  <si>
    <t>СОЕДИНЕННЫЕ ШТАТЫ</t>
  </si>
  <si>
    <t>Византия</t>
  </si>
  <si>
    <t>СОЛОМОНОВЫ ОСТРОВА</t>
  </si>
  <si>
    <t>Винно-красный</t>
  </si>
  <si>
    <t>СОМАЛИ</t>
  </si>
  <si>
    <t>Винтовочный зеленый</t>
  </si>
  <si>
    <t>СУДАН</t>
  </si>
  <si>
    <t>Вишневый (Вишня)</t>
  </si>
  <si>
    <t>СУРИНАМ</t>
  </si>
  <si>
    <t>В меру оливково-коричневый</t>
  </si>
  <si>
    <t>СЬЕРРА-ЛЕОНЕ</t>
  </si>
  <si>
    <t>Водная синь</t>
  </si>
  <si>
    <t>ТАДЖИКИСТАН</t>
  </si>
  <si>
    <t>Воды пляжа Бонди</t>
  </si>
  <si>
    <t>ТАИЛАНД</t>
  </si>
  <si>
    <t>Восход солнца</t>
  </si>
  <si>
    <t>ТАЙВАНЬ, ПРОВИНЦИЯ КИТАЯ</t>
  </si>
  <si>
    <t>Галечный серый</t>
  </si>
  <si>
    <t>ТАНЗАНИЯ, ОБЪЕДИНЕННАЯ РЕСПУБЛИКА</t>
  </si>
  <si>
    <t>Гейнсборо</t>
  </si>
  <si>
    <t>ТЕРКС И КАЙКОС</t>
  </si>
  <si>
    <t>Гелиотроп (Гелиотроповый)</t>
  </si>
  <si>
    <t>ТОГО</t>
  </si>
  <si>
    <t>Георгиново-желтый</t>
  </si>
  <si>
    <t>ТОКЕЛАУ</t>
  </si>
  <si>
    <t>Глиняный коричневый</t>
  </si>
  <si>
    <t>ТОНГА</t>
  </si>
  <si>
    <t>Глициния (Глициниевый)</t>
  </si>
  <si>
    <t>ТРИНИДАД И ТОБАГО</t>
  </si>
  <si>
    <t>Глициния Крайола</t>
  </si>
  <si>
    <t>ТУВАЛУ</t>
  </si>
  <si>
    <t>Глубокая фуксия Крайола</t>
  </si>
  <si>
    <t>ТУНИС</t>
  </si>
  <si>
    <t>Глубокий желто-коричневый</t>
  </si>
  <si>
    <t>ТУРКМЕНИЯ</t>
  </si>
  <si>
    <t>Глубокий желто-розовый</t>
  </si>
  <si>
    <t>Глубокий желтовато-зеленый</t>
  </si>
  <si>
    <t>УГАНДА</t>
  </si>
  <si>
    <t>Глубокий желтый</t>
  </si>
  <si>
    <t>УЗБЕКИСТАН</t>
  </si>
  <si>
    <t>Глубокий желтый зеленый</t>
  </si>
  <si>
    <t>УКРАИНА</t>
  </si>
  <si>
    <t>Глубокий зеленовато-желтый</t>
  </si>
  <si>
    <t>УОЛЛИС И ФУТУНА</t>
  </si>
  <si>
    <t>Глубокий зеленый</t>
  </si>
  <si>
    <t>УРУГВАЙ</t>
  </si>
  <si>
    <t>Глубокий карминно-розовый</t>
  </si>
  <si>
    <t>ФАРЕРСКИЕ ОСТРОВА</t>
  </si>
  <si>
    <t>Глубокий карминный</t>
  </si>
  <si>
    <t>ФИДЖИ</t>
  </si>
  <si>
    <t>Глубокий коралловый</t>
  </si>
  <si>
    <t>ФИЛИППИНЫ</t>
  </si>
  <si>
    <t>Глубокий коричневый</t>
  </si>
  <si>
    <t>ФИНЛЯНДИЯ</t>
  </si>
  <si>
    <t>Глубокий красно-коричневый</t>
  </si>
  <si>
    <t>ФОЛКЛЕНДСКИЕ ОСТРОВА (МАЛЬВИНСКИЕ)</t>
  </si>
  <si>
    <t>Глубокий красно-оранжевый</t>
  </si>
  <si>
    <t>Глубокий красно-пурпурный</t>
  </si>
  <si>
    <t>ФРАНЦУЗСКАЯ ГВИАНА</t>
  </si>
  <si>
    <t>Глубокий красный</t>
  </si>
  <si>
    <t>ФРАНЦУЗСКАЯ ПОЛИНЕЗИЯ</t>
  </si>
  <si>
    <t>Глубокий оливково-зеленый</t>
  </si>
  <si>
    <t>ФРАНЦУЗСКИЕ ЮЖНЫЕ ТЕРРИТОРИИ</t>
  </si>
  <si>
    <t>Глубокий оранжево-желтый</t>
  </si>
  <si>
    <t>ТР ТС 019/2011 "О безопасности средств индивидуальной защиты"</t>
  </si>
  <si>
    <t>ХЕРДА И МАКДОНАЛЬДА ОСТРОВА</t>
  </si>
  <si>
    <t>Глубокий оранжевый</t>
  </si>
  <si>
    <t>ТР ЕАЭС 043/2017 "О требованиях к средствам обеспечения пожарной безопасности и пожаротушения"</t>
  </si>
  <si>
    <t>ХОРВАТИЯ</t>
  </si>
  <si>
    <t>Глубокий пурпурно-красный</t>
  </si>
  <si>
    <t>ТР ТС 005/2011 "О безопасности упаковки"</t>
  </si>
  <si>
    <t>ЦЕНТРАЛЬНОАФРИКАНСКАЯ РЕСПУБЛИКА</t>
  </si>
  <si>
    <t>Глубокий пурпурно-розовый</t>
  </si>
  <si>
    <t>Действие технических регламентов не распространяется</t>
  </si>
  <si>
    <t>ЧАД</t>
  </si>
  <si>
    <t>Глубокий пурпурно-синий</t>
  </si>
  <si>
    <t>ЧЕРНОГОРИЯ</t>
  </si>
  <si>
    <t>Глубокий пурпурный</t>
  </si>
  <si>
    <t>ЧЕХИЯ</t>
  </si>
  <si>
    <t>Глубокий розовый</t>
  </si>
  <si>
    <t>ЧИЛИ</t>
  </si>
  <si>
    <t>Глубокий синевато-зеленый</t>
  </si>
  <si>
    <t>ШВЕЙЦАРИЯ</t>
  </si>
  <si>
    <t>Глубокий синий</t>
  </si>
  <si>
    <t>ШВЕЦИЯ</t>
  </si>
  <si>
    <t>Глубокий фиолетово-черный</t>
  </si>
  <si>
    <t>ШПИЦБЕРГЕН И ЯН-МАЙЕН</t>
  </si>
  <si>
    <t>Глубокий фиолетовый</t>
  </si>
  <si>
    <t>ШРИ ЛАНКА</t>
  </si>
  <si>
    <t>Голубино-синий</t>
  </si>
  <si>
    <t>ЭКВАДОР</t>
  </si>
  <si>
    <t>Голубой</t>
  </si>
  <si>
    <t>ЭКВАТОРИАЛЬНАЯ ГВИНЕЯ</t>
  </si>
  <si>
    <t>Голубой (Морозное небо)</t>
  </si>
  <si>
    <t>ЭРИТРЕЯ</t>
  </si>
  <si>
    <t>Голубой колокольчик Крайола</t>
  </si>
  <si>
    <t>ЭСТОНИЯ</t>
  </si>
  <si>
    <t>Голубой Крайола</t>
  </si>
  <si>
    <t>ЭФИОПИЯ</t>
  </si>
  <si>
    <t>Горечавково-синий</t>
  </si>
  <si>
    <t>ЮЖНАЯ АФРИКА</t>
  </si>
  <si>
    <t>Горный луг</t>
  </si>
  <si>
    <t>ЮЖНАЯ ГЕОРГИЯ И ЮЖНЫЕ САНДВИЧЕВЫ ОСТРОВА</t>
  </si>
  <si>
    <t>Городское небо (Пасмурно-небесный)</t>
  </si>
  <si>
    <t>ЮЖНАЯ КОРЕЯ</t>
  </si>
  <si>
    <t>Горчичный</t>
  </si>
  <si>
    <t>ЯМАЙКА</t>
  </si>
  <si>
    <t>Горько-сладкий</t>
  </si>
  <si>
    <t>ЯПОНИЯ</t>
  </si>
  <si>
    <t>Гранатовый</t>
  </si>
  <si>
    <t>Гранитовый серый (Гранитный)</t>
  </si>
  <si>
    <t>Графитно-черный</t>
  </si>
  <si>
    <t>Графитовый серый</t>
  </si>
  <si>
    <t>Гридеперлевый</t>
  </si>
  <si>
    <t>Грузинский розовый</t>
  </si>
  <si>
    <t>Грушево-зеленый</t>
  </si>
  <si>
    <t>Грушевый</t>
  </si>
  <si>
    <t>Гуммигут</t>
  </si>
  <si>
    <t>Гусеница</t>
  </si>
  <si>
    <t>Дартмутский зеленый</t>
  </si>
  <si>
    <t>Джазовый джем</t>
  </si>
  <si>
    <t>Джинсовый синий</t>
  </si>
  <si>
    <t>Дикая клубника Крайола</t>
  </si>
  <si>
    <t>Дикий арбуз Крайола</t>
  </si>
  <si>
    <t>Дикий синий Крайола</t>
  </si>
  <si>
    <t>Дымчато-белый</t>
  </si>
  <si>
    <t>Дынно-желтый</t>
  </si>
  <si>
    <t>Дыня Крайола</t>
  </si>
  <si>
    <t>Железно-серый</t>
  </si>
  <si>
    <t>Желтая сера</t>
  </si>
  <si>
    <t>Желтая слоновая кость</t>
  </si>
  <si>
    <t>Желто-зеленый</t>
  </si>
  <si>
    <t>Желто-зеленый Крайола</t>
  </si>
  <si>
    <t>Желто-золотой</t>
  </si>
  <si>
    <t>Желто-оливковый</t>
  </si>
  <si>
    <t>Желто-оранжевый</t>
  </si>
  <si>
    <t>Желто-оранжевый Крайола</t>
  </si>
  <si>
    <t>Желто-персиковый</t>
  </si>
  <si>
    <t>Желто-розовый</t>
  </si>
  <si>
    <t>Желто-серый</t>
  </si>
  <si>
    <t>Желтовато-белый</t>
  </si>
  <si>
    <t>Желтовато-серый</t>
  </si>
  <si>
    <t>Желтый</t>
  </si>
  <si>
    <t>Желтый карри</t>
  </si>
  <si>
    <t>Желтый Крайола</t>
  </si>
  <si>
    <t>Желтый ракитник</t>
  </si>
  <si>
    <t>Жемчужно-белый</t>
  </si>
  <si>
    <t>Жженый апельсин (Выгоревший оранжевый)</t>
  </si>
  <si>
    <t>Жимолость</t>
  </si>
  <si>
    <t>Защитно-синий</t>
  </si>
  <si>
    <t>Защитный хаки (Камуфляжный)</t>
  </si>
  <si>
    <t>Звезды в шоке</t>
  </si>
  <si>
    <t>Зеленая лужайка</t>
  </si>
  <si>
    <t>Зеленая сосна</t>
  </si>
  <si>
    <t>Зеленая сосна Крайола</t>
  </si>
  <si>
    <t>Зелено-бежевый</t>
  </si>
  <si>
    <t>Зелено-желтый</t>
  </si>
  <si>
    <t>Зелено-желтый Крайола</t>
  </si>
  <si>
    <t>Зелено-коричневый</t>
  </si>
  <si>
    <t>Зелено-лаймовый</t>
  </si>
  <si>
    <t>Зелено-серый</t>
  </si>
  <si>
    <t>Зелено-синий</t>
  </si>
  <si>
    <t>Зелено-синий Крайола</t>
  </si>
  <si>
    <t>Зеленовато-белый</t>
  </si>
  <si>
    <t>Зеленовато-серый</t>
  </si>
  <si>
    <t>Зеленовато-черный</t>
  </si>
  <si>
    <t>Зеленоватый мокрый асфальт</t>
  </si>
  <si>
    <t>Зеленое море</t>
  </si>
  <si>
    <t>Зеленые джунгли Крайола</t>
  </si>
  <si>
    <t>Зеленые джунгли Крайола 90-го года</t>
  </si>
  <si>
    <t>Зеленый</t>
  </si>
  <si>
    <t>Зеленый Крайола</t>
  </si>
  <si>
    <t>Зеленый лишайник, мох (Цвет зеленого мха)</t>
  </si>
  <si>
    <t>Зеленый Мичиганского университета</t>
  </si>
  <si>
    <t>Зеленый мох</t>
  </si>
  <si>
    <t>Зеленый орел</t>
  </si>
  <si>
    <t>Зеленый папоротник</t>
  </si>
  <si>
    <t>Зеленый трилистник</t>
  </si>
  <si>
    <t>Зеленый чай</t>
  </si>
  <si>
    <t>Золотарник Крайола</t>
  </si>
  <si>
    <t>Золотисто-березовый</t>
  </si>
  <si>
    <t>Золотисто-каштановый</t>
  </si>
  <si>
    <t>Золотой (Золотистый)</t>
  </si>
  <si>
    <t>Золотой Крайола</t>
  </si>
  <si>
    <t>Ивово-коричневый</t>
  </si>
  <si>
    <t>Известковая глина</t>
  </si>
  <si>
    <t>Изумруд</t>
  </si>
  <si>
    <t>Изумрудно-зеленый</t>
  </si>
  <si>
    <t>Изумрудный</t>
  </si>
  <si>
    <t>Индиго</t>
  </si>
  <si>
    <t>Индиго Крайола</t>
  </si>
  <si>
    <t>Индийский зеленый</t>
  </si>
  <si>
    <t>Индийский красный, каштановый</t>
  </si>
  <si>
    <t>Ирландский зеленый</t>
  </si>
  <si>
    <t>Июньский бутон</t>
  </si>
  <si>
    <t>Кадетский синий</t>
  </si>
  <si>
    <t>Кадетский синий Крайола</t>
  </si>
  <si>
    <t>Камелопардовый</t>
  </si>
  <si>
    <t>Каменно-серый</t>
  </si>
  <si>
    <t>Канареечный (Ярко-желтый)</t>
  </si>
  <si>
    <t>Капри синий</t>
  </si>
  <si>
    <t>Кардинал</t>
  </si>
  <si>
    <t>Карибский зеленый</t>
  </si>
  <si>
    <t>Кармин</t>
  </si>
  <si>
    <t>Карминно-красный</t>
  </si>
  <si>
    <t>Карминно-розовый</t>
  </si>
  <si>
    <t>Карминово-красный</t>
  </si>
  <si>
    <t>Каштаново-коричневый</t>
  </si>
  <si>
    <t>Каштановый Крайола</t>
  </si>
  <si>
    <t>Кварцевый</t>
  </si>
  <si>
    <t>Кварцевый серый</t>
  </si>
  <si>
    <t>Киноварь</t>
  </si>
  <si>
    <t>Кирпично-красный</t>
  </si>
  <si>
    <t>Кирпичный</t>
  </si>
  <si>
    <t>Китайский красный (Киноварь)</t>
  </si>
  <si>
    <t>Кленовый зеленый</t>
  </si>
  <si>
    <t>Клубнично-красный</t>
  </si>
  <si>
    <t>Кобальтово-синий</t>
  </si>
  <si>
    <t>Кобальт синий (Кобальтовый)</t>
  </si>
  <si>
    <t>Кожа буйвола (Палевый)</t>
  </si>
  <si>
    <t>Кожура апельсина</t>
  </si>
  <si>
    <t>Кораллово-красный</t>
  </si>
  <si>
    <t>Коралловый</t>
  </si>
  <si>
    <t>Кордованский</t>
  </si>
  <si>
    <t>Коричневато-оранжевый</t>
  </si>
  <si>
    <t>Коричневато-розовый</t>
  </si>
  <si>
    <t>Коричневато-серый</t>
  </si>
  <si>
    <t>Коричневато-черный</t>
  </si>
  <si>
    <t>Коричнево-бежевый</t>
  </si>
  <si>
    <t>Коричнево-бордовый</t>
  </si>
  <si>
    <t>Коричнево-желтый цвета увядших листьев</t>
  </si>
  <si>
    <t>Коричнево-зеленый</t>
  </si>
  <si>
    <t>Коричнево-красный</t>
  </si>
  <si>
    <t>Коричнево-малиновый</t>
  </si>
  <si>
    <t>Коричнево-малиновый Крайола</t>
  </si>
  <si>
    <t>Коричнево-оливковый</t>
  </si>
  <si>
    <t>Коричневый</t>
  </si>
  <si>
    <t>Коричневый Крайола</t>
  </si>
  <si>
    <t>Коричневый серый</t>
  </si>
  <si>
    <t>Коричневый цвета кожанного седла для лошади</t>
  </si>
  <si>
    <t>Коричный</t>
  </si>
  <si>
    <t>Королевская фуксия</t>
  </si>
  <si>
    <t>Королевский пурпурный Крайола</t>
  </si>
  <si>
    <t>Королевский синий</t>
  </si>
  <si>
    <t>Космические сливки</t>
  </si>
  <si>
    <t>Космос</t>
  </si>
  <si>
    <t>Кофейный</t>
  </si>
  <si>
    <t>Крайоловый Абрикос</t>
  </si>
  <si>
    <t>Красно-буро-оранжевый</t>
  </si>
  <si>
    <t>Красно-желто-коричневый</t>
  </si>
  <si>
    <t>Красно-коричневый</t>
  </si>
  <si>
    <t>Красно-оранжевый</t>
  </si>
  <si>
    <t>Красно-оранжевый Крайола</t>
  </si>
  <si>
    <t>Красно-сиреневый</t>
  </si>
  <si>
    <t>Красно-фиолетовый</t>
  </si>
  <si>
    <t>Красно-фиолетовый Крайола</t>
  </si>
  <si>
    <t>Красновато-серый</t>
  </si>
  <si>
    <t>Красновато-черный</t>
  </si>
  <si>
    <t>Красное дерево</t>
  </si>
  <si>
    <t>Красное дерево Крайола</t>
  </si>
  <si>
    <t>Красный</t>
  </si>
  <si>
    <t>Красный Крайола</t>
  </si>
  <si>
    <t>Красный песок</t>
  </si>
  <si>
    <t>Кремово-желтый</t>
  </si>
  <si>
    <t>Кремовый</t>
  </si>
  <si>
    <t>Кремовый хаки</t>
  </si>
  <si>
    <t>Кричащий зеленый</t>
  </si>
  <si>
    <t>Крутой розовый Крайола</t>
  </si>
  <si>
    <t>Кукурузно-желтый</t>
  </si>
  <si>
    <t>Кукурузный</t>
  </si>
  <si>
    <t>Лаванда (Лавандовый)</t>
  </si>
  <si>
    <t>Лавандовый Крайола</t>
  </si>
  <si>
    <t>Лавандовый розовый</t>
  </si>
  <si>
    <t>Лазерный лимон</t>
  </si>
  <si>
    <t>Лазурно-серый (Зеленовато-синий)</t>
  </si>
  <si>
    <t>Лазурно-синий</t>
  </si>
  <si>
    <t>Лазурный, Азур</t>
  </si>
  <si>
    <t>Лазурный Крайола</t>
  </si>
  <si>
    <t>Лайм</t>
  </si>
  <si>
    <t>Лаймово-зеленый</t>
  </si>
  <si>
    <t>Ламантин</t>
  </si>
  <si>
    <t>Латунный</t>
  </si>
  <si>
    <t>Лесной волк</t>
  </si>
  <si>
    <t>Лесной зеленый</t>
  </si>
  <si>
    <t>Ливерный</t>
  </si>
  <si>
    <t>Лиловый</t>
  </si>
  <si>
    <t>Лимонно-желтый</t>
  </si>
  <si>
    <t>Лимонно-желтый Крайола</t>
  </si>
  <si>
    <t>Лимонно-кремовый</t>
  </si>
  <si>
    <t>Лимонный</t>
  </si>
  <si>
    <t>Лиственно-зеленый</t>
  </si>
  <si>
    <t>Лиственный зеленый Крайола</t>
  </si>
  <si>
    <t>Лососево-красный</t>
  </si>
  <si>
    <t>Лососево-оранжевый</t>
  </si>
  <si>
    <t>Лососевый</t>
  </si>
  <si>
    <t>Лососевый Крайола</t>
  </si>
  <si>
    <t>Льняной</t>
  </si>
  <si>
    <t>Люминесцентный красный</t>
  </si>
  <si>
    <t>Люминесцентный ярко-оранжевый</t>
  </si>
  <si>
    <t>Лягушка в обмороке</t>
  </si>
  <si>
    <t>Магическая мята</t>
  </si>
  <si>
    <t>Магнолия</t>
  </si>
  <si>
    <t>Маджента, Фуксия (Пурпурный)</t>
  </si>
  <si>
    <t>Маджента Крайола</t>
  </si>
  <si>
    <t>Маисовый</t>
  </si>
  <si>
    <t>Майский зеленый</t>
  </si>
  <si>
    <t>Макароны и сыр</t>
  </si>
  <si>
    <t>Малахитовый</t>
  </si>
  <si>
    <t>Малиново-красный</t>
  </si>
  <si>
    <t>Малиново-розовый</t>
  </si>
  <si>
    <t>Малиновый</t>
  </si>
  <si>
    <t>Мальва (Розовато-лиловый)</t>
  </si>
  <si>
    <t>Манго-танго</t>
  </si>
  <si>
    <t>Мандариновое танго</t>
  </si>
  <si>
    <t>Мандариновый</t>
  </si>
  <si>
    <t>Маренго</t>
  </si>
  <si>
    <t>Марсала</t>
  </si>
  <si>
    <t>Махагон коричневый</t>
  </si>
  <si>
    <t>Медно-коричневый</t>
  </si>
  <si>
    <t>Медно-розовый (Бледный розовато-лиловый)</t>
  </si>
  <si>
    <t>Медный</t>
  </si>
  <si>
    <t>Медный Крайола</t>
  </si>
  <si>
    <t>Медовая роса</t>
  </si>
  <si>
    <t>Медово-желтый</t>
  </si>
  <si>
    <t>Медовый</t>
  </si>
  <si>
    <t>Международный оранжевый (Сигнальный)</t>
  </si>
  <si>
    <t>Мертвенный индиго</t>
  </si>
  <si>
    <t>Миндаль Крайола</t>
  </si>
  <si>
    <t>Миртовый</t>
  </si>
  <si>
    <t>Мовеин (Анилиновый пурпур)</t>
  </si>
  <si>
    <t>Модная фуксия</t>
  </si>
  <si>
    <t>Мокасиновый</t>
  </si>
  <si>
    <t>Мокрый тропический лес</t>
  </si>
  <si>
    <t>Морковный</t>
  </si>
  <si>
    <t>Морской зеленый</t>
  </si>
  <si>
    <t>Морской зеленый Крайола</t>
  </si>
  <si>
    <t>Мурена</t>
  </si>
  <si>
    <t>Мусульманский зеленый</t>
  </si>
  <si>
    <t>Мышино-серый</t>
  </si>
  <si>
    <t>Мята (Цвет зеленой мяты)</t>
  </si>
  <si>
    <t>Мятно-бирюзовый</t>
  </si>
  <si>
    <t>Мятно-зеленый</t>
  </si>
  <si>
    <t>Мятно-кремовый</t>
  </si>
  <si>
    <t>Мятный</t>
  </si>
  <si>
    <t>Нарциссово-желтый</t>
  </si>
  <si>
    <t>Насыщенный желто-зеленый</t>
  </si>
  <si>
    <t>Насыщенный желто-коричневый</t>
  </si>
  <si>
    <t>Насыщенный желто-розовый</t>
  </si>
  <si>
    <t>Насыщенный желтовато-зеленый</t>
  </si>
  <si>
    <t>Насыщенный желтый</t>
  </si>
  <si>
    <t>Насыщенный зеленовато-желтый</t>
  </si>
  <si>
    <t>Насыщенный зеленовато-синий</t>
  </si>
  <si>
    <t>Насыщенный зеленый</t>
  </si>
  <si>
    <t>Насыщенный коричневый</t>
  </si>
  <si>
    <t>Насыщенный красно-коричневый</t>
  </si>
  <si>
    <t>Насыщенный красно-оранжевый</t>
  </si>
  <si>
    <t>Насыщенный красно-пурпурный</t>
  </si>
  <si>
    <t>Насыщенный красный</t>
  </si>
  <si>
    <t>Насыщенный оливково-зеленый</t>
  </si>
  <si>
    <t>Насыщенный оранжево-желтый</t>
  </si>
  <si>
    <t>Насыщенный оранжевый</t>
  </si>
  <si>
    <t>Насыщенный пурпурно-красный</t>
  </si>
  <si>
    <t>Насыщенный пурпурно-розовый</t>
  </si>
  <si>
    <t>Насыщенный пурпурно-синий</t>
  </si>
  <si>
    <t>Насыщенный розовый</t>
  </si>
  <si>
    <t>Насыщенный синевато-зеленый</t>
  </si>
  <si>
    <t>Насыщенный синий</t>
  </si>
  <si>
    <t>Насыщенный фиолетовый</t>
  </si>
  <si>
    <t>Натуральная умбра</t>
  </si>
  <si>
    <t>Небесная лазурь</t>
  </si>
  <si>
    <t>Небесно-синий</t>
  </si>
  <si>
    <t>Небесный</t>
  </si>
  <si>
    <t>Нежно-оливковый</t>
  </si>
  <si>
    <t>Незрелый желтый</t>
  </si>
  <si>
    <t>Неоново-морковный</t>
  </si>
  <si>
    <t>Нефритовый</t>
  </si>
  <si>
    <t>Ниагара</t>
  </si>
  <si>
    <t>Ночной синий</t>
  </si>
  <si>
    <t>Обычный весенний бутон</t>
  </si>
  <si>
    <t>Огненная сиенна Крайола</t>
  </si>
  <si>
    <t>Огненно-красный</t>
  </si>
  <si>
    <t>Огненный оранжевый</t>
  </si>
  <si>
    <t>Одуванчиковый</t>
  </si>
  <si>
    <t>Океанская синь</t>
  </si>
  <si>
    <t>Оксид красный</t>
  </si>
  <si>
    <t>Олень коричневый</t>
  </si>
  <si>
    <t>Оливково-желтый</t>
  </si>
  <si>
    <t>Оливково-зеленый</t>
  </si>
  <si>
    <t>Оливково-зеленый Крайола</t>
  </si>
  <si>
    <t>Оливково-коричневый</t>
  </si>
  <si>
    <t>Оливково-черный</t>
  </si>
  <si>
    <t>Оливковый</t>
  </si>
  <si>
    <t>Оливковый серый</t>
  </si>
  <si>
    <t>Опаловый зеленый</t>
  </si>
  <si>
    <t>Оперный розовато-лиловый</t>
  </si>
  <si>
    <t>Оранжевая заря</t>
  </si>
  <si>
    <t>Оранжево-желтый Крайола</t>
  </si>
  <si>
    <t>Оранжево-коричневый</t>
  </si>
  <si>
    <t>Оранжево-красный Крайола</t>
  </si>
  <si>
    <t>Оранжево-персиковый</t>
  </si>
  <si>
    <t>Оранжево-розовый</t>
  </si>
  <si>
    <t>Оранжевый</t>
  </si>
  <si>
    <t>Оранжевый Крайола</t>
  </si>
  <si>
    <t>Орехово-коричневый</t>
  </si>
  <si>
    <t>Ориент красный</t>
  </si>
  <si>
    <t>Орхидея</t>
  </si>
  <si>
    <t>Орхидея Крайола</t>
  </si>
  <si>
    <t>Отборный желтый</t>
  </si>
  <si>
    <t>Отдаленно-синий</t>
  </si>
  <si>
    <t>Охотничий зеленый</t>
  </si>
  <si>
    <t>Охра</t>
  </si>
  <si>
    <t>Охра желтая</t>
  </si>
  <si>
    <t>Охра коричневая</t>
  </si>
  <si>
    <t>Очень бледно-пурпурный</t>
  </si>
  <si>
    <t>Очень бледный зеленый</t>
  </si>
  <si>
    <t>Очень бледный пурпурно-синий</t>
  </si>
  <si>
    <t>Очень бледный синий</t>
  </si>
  <si>
    <t>Очень бледный фиолетовый</t>
  </si>
  <si>
    <t>Очень глубокий желто-зеленый</t>
  </si>
  <si>
    <t>Очень глубокий красно-пурпурный</t>
  </si>
  <si>
    <t>Очень глубокий красный</t>
  </si>
  <si>
    <t>Очень глубокий пурпурно-красный</t>
  </si>
  <si>
    <t>Очень глубокий пурпурный</t>
  </si>
  <si>
    <t>Очень светло-пурпурный</t>
  </si>
  <si>
    <t>Очень светлый желто-зеленый</t>
  </si>
  <si>
    <t>Очень светлый зеленовато-синий</t>
  </si>
  <si>
    <t>Очень светлый зеленый</t>
  </si>
  <si>
    <t>Очень светлый пурпурно-синий</t>
  </si>
  <si>
    <t>Очень светлый синевато-зеленый</t>
  </si>
  <si>
    <t>Очень светлый синий</t>
  </si>
  <si>
    <t>Очень светлый фиолетовый</t>
  </si>
  <si>
    <t>Очень темно-пурпурный</t>
  </si>
  <si>
    <t>Очень темный алый</t>
  </si>
  <si>
    <t>Очень темный желто-зеленый</t>
  </si>
  <si>
    <t>Очень темный зеленовато-синий</t>
  </si>
  <si>
    <t>Очень темный зеленый</t>
  </si>
  <si>
    <t>Очень темный красно-пурпурный</t>
  </si>
  <si>
    <t>Очень темный красный</t>
  </si>
  <si>
    <t>Очень темный оливковый</t>
  </si>
  <si>
    <t>Очень темный пурпурно-красный</t>
  </si>
  <si>
    <t>Очень темный синевато-зеленый</t>
  </si>
  <si>
    <t>Очень темный хаки</t>
  </si>
  <si>
    <t>Очищенный миндаль</t>
  </si>
  <si>
    <t>Панг</t>
  </si>
  <si>
    <t>Папоротник Крайола</t>
  </si>
  <si>
    <t>Папоротниково-зеленый</t>
  </si>
  <si>
    <t>Пастельно-бирюзовый</t>
  </si>
  <si>
    <t>Пастельно-желтый</t>
  </si>
  <si>
    <t>Пастельно-зеленый</t>
  </si>
  <si>
    <t>Пастельно-оранжевый</t>
  </si>
  <si>
    <t>Пастельно-розовый</t>
  </si>
  <si>
    <t>Пастельно-синий</t>
  </si>
  <si>
    <t>Пастельно-фиолетовый</t>
  </si>
  <si>
    <t>Патиново-зеленый</t>
  </si>
  <si>
    <t>Перекати-поле</t>
  </si>
  <si>
    <t>Перламутрово-бежевый</t>
  </si>
  <si>
    <t>Перламутрово-ежевичный</t>
  </si>
  <si>
    <t>Перламутрово-зеленый</t>
  </si>
  <si>
    <t>Перламутрово-золотой</t>
  </si>
  <si>
    <t>Перламутрово-оранжевый</t>
  </si>
  <si>
    <t>Перламутрово-розовый</t>
  </si>
  <si>
    <t>Перламутрово-рубиновый</t>
  </si>
  <si>
    <t>Перламутрово-фиолетовый</t>
  </si>
  <si>
    <t>Перламутровый горечавково-синий</t>
  </si>
  <si>
    <t>Перламутровый медный</t>
  </si>
  <si>
    <t>Перламутровый мышино-серый</t>
  </si>
  <si>
    <t>Перламутровый ночной</t>
  </si>
  <si>
    <t>Перламутровый опаловый</t>
  </si>
  <si>
    <t>Перламутровый светло-серый</t>
  </si>
  <si>
    <t>Перламутровый темно-серый</t>
  </si>
  <si>
    <t>Персидский зеленый</t>
  </si>
  <si>
    <t>Персидский индиго</t>
  </si>
  <si>
    <t>Персидский красный</t>
  </si>
  <si>
    <t>Персидский розовый</t>
  </si>
  <si>
    <t>Персидский синий</t>
  </si>
  <si>
    <t>Персиковый</t>
  </si>
  <si>
    <t>Персиковый Крайола</t>
  </si>
  <si>
    <t>Перу</t>
  </si>
  <si>
    <t>Песок пустыни</t>
  </si>
  <si>
    <t>Песочно-желтый</t>
  </si>
  <si>
    <t>Песочный</t>
  </si>
  <si>
    <t>Песочный серо-коричневый</t>
  </si>
  <si>
    <t>Пигментный зеленый</t>
  </si>
  <si>
    <t>Пихтовый зеленый</t>
  </si>
  <si>
    <t>Пламенная маджента Крайола</t>
  </si>
  <si>
    <t>Платиново-серый</t>
  </si>
  <si>
    <t>Побег папайи</t>
  </si>
  <si>
    <t>Полумрак Крайола</t>
  </si>
  <si>
    <t>Полуночно-синий</t>
  </si>
  <si>
    <t>Полуночный синий Крайола</t>
  </si>
  <si>
    <t>Полуночный черный</t>
  </si>
  <si>
    <t>Последний вздох Жако</t>
  </si>
  <si>
    <t>Почти черный</t>
  </si>
  <si>
    <t>Призрачно-белый</t>
  </si>
  <si>
    <t>Пурпурная пицца</t>
  </si>
  <si>
    <t>Пурпурно-белый</t>
  </si>
  <si>
    <t>Пурпурно-красный</t>
  </si>
  <si>
    <t>Пурпурно-серый</t>
  </si>
  <si>
    <t>Пурпурно-синий</t>
  </si>
  <si>
    <t>Пурпурно-фиолетовый</t>
  </si>
  <si>
    <t>Пурпурно-черный</t>
  </si>
  <si>
    <t>Пурпурное горное величие</t>
  </si>
  <si>
    <t>Пурпурное сердце</t>
  </si>
  <si>
    <t>Пурпурный</t>
  </si>
  <si>
    <t>Пшеничный</t>
  </si>
  <si>
    <t>Пылкий красно-оранжевый</t>
  </si>
  <si>
    <t>Пылкий розовый</t>
  </si>
  <si>
    <t>Пыльно-серый</t>
  </si>
  <si>
    <t>Пыльный голубой</t>
  </si>
  <si>
    <t>Пюсовый</t>
  </si>
  <si>
    <t>Радикальный красный</t>
  </si>
  <si>
    <t>Рапсово-желтый</t>
  </si>
  <si>
    <t>Резедово-зеленый</t>
  </si>
  <si>
    <t>Ржаво-коричневый</t>
  </si>
  <si>
    <t>Розовато-лиловый Крайола</t>
  </si>
  <si>
    <t>Розовато-серый</t>
  </si>
  <si>
    <t>Розовая гвоздика</t>
  </si>
  <si>
    <t>Розовая долина</t>
  </si>
  <si>
    <t>Розовая фуксия</t>
  </si>
  <si>
    <t>Розово-золотой</t>
  </si>
  <si>
    <t>Розово-коричневый</t>
  </si>
  <si>
    <t>Розово-лавандовый</t>
  </si>
  <si>
    <t>Розово-серо-коричневый</t>
  </si>
  <si>
    <t>Розово-фиолетовый</t>
  </si>
  <si>
    <t>Розово-эбонитовый</t>
  </si>
  <si>
    <t>Розовый</t>
  </si>
  <si>
    <t>Розовый (Пощекочи меня)</t>
  </si>
  <si>
    <t>Розовый антик</t>
  </si>
  <si>
    <t>Розовый кварц</t>
  </si>
  <si>
    <t>Розовый лес</t>
  </si>
  <si>
    <t>Розовый Маунтбэттена</t>
  </si>
  <si>
    <t>Розовый поросенок</t>
  </si>
  <si>
    <t>Розовый фламинго</t>
  </si>
  <si>
    <t>Розовый щербет</t>
  </si>
  <si>
    <t>Рубиново-красный</t>
  </si>
  <si>
    <t>Румянец</t>
  </si>
  <si>
    <t>Рыжий</t>
  </si>
  <si>
    <t>Салатовый</t>
  </si>
  <si>
    <t>Сангина</t>
  </si>
  <si>
    <t>Сапфирово-синий</t>
  </si>
  <si>
    <t>Сапфировый</t>
  </si>
  <si>
    <t>Светлая вишня</t>
  </si>
  <si>
    <t>Светлая мальва (Светло-розовато-лиловый)</t>
  </si>
  <si>
    <t>Светлая Сиена (Почти чистый оранжевый)</t>
  </si>
  <si>
    <t>Светлая слива</t>
  </si>
  <si>
    <t>Светлая слоновая кость</t>
  </si>
  <si>
    <t>Светло-бирюзовый</t>
  </si>
  <si>
    <t>Светло-вишневый Крайола</t>
  </si>
  <si>
    <t>Светло-голубой</t>
  </si>
  <si>
    <t>Светло-желтый</t>
  </si>
  <si>
    <t>Светло-желтый золотистый</t>
  </si>
  <si>
    <t>Светло-зеленый</t>
  </si>
  <si>
    <t>Светло-золотистый</t>
  </si>
  <si>
    <t>Светло-коралловый</t>
  </si>
  <si>
    <t>Светло-коричневый</t>
  </si>
  <si>
    <t>Светло-морковный</t>
  </si>
  <si>
    <t>Светло-оливковый</t>
  </si>
  <si>
    <t>Светло-песочный</t>
  </si>
  <si>
    <t>Светло-пурпурный</t>
  </si>
  <si>
    <t>Светло-розовая фуксия</t>
  </si>
  <si>
    <t>Светло-розовый</t>
  </si>
  <si>
    <t>Светло-серебристый</t>
  </si>
  <si>
    <t>Светло-серый</t>
  </si>
  <si>
    <t>Светло-синий</t>
  </si>
  <si>
    <t>Светло-тициановый</t>
  </si>
  <si>
    <t>Светло-фиолетовый</t>
  </si>
  <si>
    <t>Светлое зеленое море</t>
  </si>
  <si>
    <t>Светлый аспидно-серый</t>
  </si>
  <si>
    <t>Светлый глубокий желтый</t>
  </si>
  <si>
    <t>Светлый джинсовый</t>
  </si>
  <si>
    <t>Светлый желто-зеленый</t>
  </si>
  <si>
    <t>Светлый желто-коричневый</t>
  </si>
  <si>
    <t>Светлый желто-розовый</t>
  </si>
  <si>
    <t>Светлый зеленовато-белый</t>
  </si>
  <si>
    <t>Светлый зеленовато-желтый</t>
  </si>
  <si>
    <t>Светлый зеленовато-синий</t>
  </si>
  <si>
    <t>Светлый карминово-розовый</t>
  </si>
  <si>
    <t>Светлый коричневато-серый</t>
  </si>
  <si>
    <t>Светлый коричневый</t>
  </si>
  <si>
    <t>Светлый красно-коричневый</t>
  </si>
  <si>
    <t>Светлый красно-пурпурный</t>
  </si>
  <si>
    <t>Светлый малиново-красный</t>
  </si>
  <si>
    <t>Светлый оливково-коричневый</t>
  </si>
  <si>
    <t>Светлый оливковый серый</t>
  </si>
  <si>
    <t>Светлый оранжевый</t>
  </si>
  <si>
    <t>Светлый пурпурно-розовый</t>
  </si>
  <si>
    <t>Светлый пурпурно-серый</t>
  </si>
  <si>
    <t>Светлый пурпурно-синий</t>
  </si>
  <si>
    <t>Светлый розово-лиловый</t>
  </si>
  <si>
    <t>Светлый серо-желто-коричневый</t>
  </si>
  <si>
    <t>Светлый серо-коричневый</t>
  </si>
  <si>
    <t>Светлый серо-красно-коричневый</t>
  </si>
  <si>
    <t>Светлый серо-красный</t>
  </si>
  <si>
    <t>Светлый серо-оливковый</t>
  </si>
  <si>
    <t>Светлый серо-пурпурно-красный</t>
  </si>
  <si>
    <t>Светлый серо-синий</t>
  </si>
  <si>
    <t>Светлый серый</t>
  </si>
  <si>
    <t>Светлый сине-серый</t>
  </si>
  <si>
    <t>Светлый синевато-зеленый</t>
  </si>
  <si>
    <t>Светлый синевато-серый</t>
  </si>
  <si>
    <t>Светлый синий</t>
  </si>
  <si>
    <t>Светлый стальной синий</t>
  </si>
  <si>
    <t>Светлый телегрей</t>
  </si>
  <si>
    <t>Светлый хаки</t>
  </si>
  <si>
    <t>Светлый циан</t>
  </si>
  <si>
    <t>Селадон</t>
  </si>
  <si>
    <t>Сепия (Каракатица)</t>
  </si>
  <si>
    <t>Сепия коричневый</t>
  </si>
  <si>
    <t>Сепия Крайола</t>
  </si>
  <si>
    <t>Серая белка</t>
  </si>
  <si>
    <t>Серая спаржа</t>
  </si>
  <si>
    <t>Серая умбра</t>
  </si>
  <si>
    <t>Серебристо-серый</t>
  </si>
  <si>
    <t>Серебряный</t>
  </si>
  <si>
    <t>Серебряный Крайола</t>
  </si>
  <si>
    <t>Серо-бежевый</t>
  </si>
  <si>
    <t>Серобуромалиновый</t>
  </si>
  <si>
    <t>Серовато-желто-зеленый</t>
  </si>
  <si>
    <t>Серовато-желто-коричневый</t>
  </si>
  <si>
    <t>Серовато-желто-розовый</t>
  </si>
  <si>
    <t>Серовато-желтый</t>
  </si>
  <si>
    <t>Серовато-зеленовато-желтый</t>
  </si>
  <si>
    <t>Серовато-зеленый</t>
  </si>
  <si>
    <t>Серовато-коричневый</t>
  </si>
  <si>
    <t>Серовато-красно-коричневый</t>
  </si>
  <si>
    <t>Серовато-красно-оранжевый</t>
  </si>
  <si>
    <t>Серовато-красно-пурпурный</t>
  </si>
  <si>
    <t>Серовато-красный</t>
  </si>
  <si>
    <t>Серовато-оливковый</t>
  </si>
  <si>
    <t>Серовато-оранжевый</t>
  </si>
  <si>
    <t>Серовато-пурпурно-красный</t>
  </si>
  <si>
    <t>Серовато-пурпурно-розовый</t>
  </si>
  <si>
    <t>Серовато-пурпурно-синий</t>
  </si>
  <si>
    <t>Серовато-пурпурный</t>
  </si>
  <si>
    <t>Серовато-розовый</t>
  </si>
  <si>
    <t>Серовато-синий</t>
  </si>
  <si>
    <t>Серовато-фиолетовый</t>
  </si>
  <si>
    <t>Сероватый оливково-зеленый</t>
  </si>
  <si>
    <t>Серое окно</t>
  </si>
  <si>
    <t>Серый</t>
  </si>
  <si>
    <t>Серый бетон</t>
  </si>
  <si>
    <t>Серый зеленый чай</t>
  </si>
  <si>
    <t>Серый коричневый</t>
  </si>
  <si>
    <t>Серый Крайола</t>
  </si>
  <si>
    <t>Серый мох</t>
  </si>
  <si>
    <t>Серый нейтральный</t>
  </si>
  <si>
    <t>Серый оливковый</t>
  </si>
  <si>
    <t>Серый синий</t>
  </si>
  <si>
    <t>Серый хаки</t>
  </si>
  <si>
    <t>Серый шелк</t>
  </si>
  <si>
    <t>Серый шифер, аспидно-серый</t>
  </si>
  <si>
    <t>Сигнальный желтый</t>
  </si>
  <si>
    <t>Сигнальный зеленый</t>
  </si>
  <si>
    <t>Сигнальный коричневый</t>
  </si>
  <si>
    <t>Сигнальный красный</t>
  </si>
  <si>
    <t>Сигнальный оранжевый</t>
  </si>
  <si>
    <t>Сигнальный серый</t>
  </si>
  <si>
    <t>Сигнальный синий</t>
  </si>
  <si>
    <t>Сигнальный фиолетовый</t>
  </si>
  <si>
    <t>Сигнальный черный</t>
  </si>
  <si>
    <t>Сиена</t>
  </si>
  <si>
    <t>Сиена жженая</t>
  </si>
  <si>
    <t>Сизый</t>
  </si>
  <si>
    <t>Сине-зеленый</t>
  </si>
  <si>
    <t>Сине-зеленый Крайола</t>
  </si>
  <si>
    <t>Сине-лиловый</t>
  </si>
  <si>
    <t>Сине-серый Крайола</t>
  </si>
  <si>
    <t>Сине-сиреневый</t>
  </si>
  <si>
    <t>Сине-фиолетовый Крайола</t>
  </si>
  <si>
    <t>Синевато-белый</t>
  </si>
  <si>
    <t>Синевато-серый</t>
  </si>
  <si>
    <t>Синевато-черный</t>
  </si>
  <si>
    <t>Синий</t>
  </si>
  <si>
    <t>Синий-синий иней</t>
  </si>
  <si>
    <t>Синий Градуса</t>
  </si>
  <si>
    <t>Синий Клейна</t>
  </si>
  <si>
    <t>Синий Крайола</t>
  </si>
  <si>
    <t>Синий серый</t>
  </si>
  <si>
    <t>Синий цвета яиц странствующего дрозда</t>
  </si>
  <si>
    <t>Синий чирок</t>
  </si>
  <si>
    <t>Синий экран смерти</t>
  </si>
  <si>
    <t>Синяя лазурь (Лазурно-голубой)</t>
  </si>
  <si>
    <t>Синяя пыль</t>
  </si>
  <si>
    <t>Синяя сталь</t>
  </si>
  <si>
    <t>Синяя Элис</t>
  </si>
  <si>
    <t>Сиреневый</t>
  </si>
  <si>
    <t>Сияющая орхидея</t>
  </si>
  <si>
    <t>Скандальный оранжевый</t>
  </si>
  <si>
    <t>Скарлет</t>
  </si>
  <si>
    <t>Сладкая вата</t>
  </si>
  <si>
    <t>Сланцево-серый</t>
  </si>
  <si>
    <t>Сливовый</t>
  </si>
  <si>
    <t>Сливовый Крайола</t>
  </si>
  <si>
    <t>Сливочно-кремовый</t>
  </si>
  <si>
    <t>Сливочный</t>
  </si>
  <si>
    <t>Слоновая кость</t>
  </si>
  <si>
    <t>Снежно-синий</t>
  </si>
  <si>
    <t>Солнечно-желтый</t>
  </si>
  <si>
    <t>Сомон</t>
  </si>
  <si>
    <t>Сосновый зеленый</t>
  </si>
  <si>
    <t>Сочный каштановый Крайола</t>
  </si>
  <si>
    <t>Спаржа</t>
  </si>
  <si>
    <t>Спаржа Крайола</t>
  </si>
  <si>
    <t>Средний карминный</t>
  </si>
  <si>
    <t>Средний персидский синий</t>
  </si>
  <si>
    <t>Средний пурпурный</t>
  </si>
  <si>
    <t>Средний серый</t>
  </si>
  <si>
    <t>Стальной синий</t>
  </si>
  <si>
    <t>Старинный розовый</t>
  </si>
  <si>
    <t>Старое золото</t>
  </si>
  <si>
    <t>Старое кружево</t>
  </si>
  <si>
    <t>Старый лен</t>
  </si>
  <si>
    <t>Сырая охра</t>
  </si>
  <si>
    <t>Сырая умбра</t>
  </si>
  <si>
    <t>Телегрей</t>
  </si>
  <si>
    <t>Телемагента</t>
  </si>
  <si>
    <t>Темная Византия</t>
  </si>
  <si>
    <t>Темная орхидея</t>
  </si>
  <si>
    <t>Темно-алый</t>
  </si>
  <si>
    <t>Темно-бирюзовый</t>
  </si>
  <si>
    <t>Темно-голубой</t>
  </si>
  <si>
    <t>Темно-грушевый</t>
  </si>
  <si>
    <t>Темно-желтый</t>
  </si>
  <si>
    <t>Темно-зеленый</t>
  </si>
  <si>
    <t>Темно-каштановый</t>
  </si>
  <si>
    <t>Темно-коралловый</t>
  </si>
  <si>
    <t>Темно-коричневый</t>
  </si>
  <si>
    <t>Темно-красный</t>
  </si>
  <si>
    <t>Темно-лазурный</t>
  </si>
  <si>
    <t>Темно-лососевый</t>
  </si>
  <si>
    <t>Темно-мандариновый</t>
  </si>
  <si>
    <t>Темно-оливковый</t>
  </si>
  <si>
    <t>Темно-оранжевый</t>
  </si>
  <si>
    <t>Темно-персиковый</t>
  </si>
  <si>
    <t>Темно-пурпурный</t>
  </si>
  <si>
    <t>Темно-розовый</t>
  </si>
  <si>
    <t>Темно-серая мальва (Розовато-лилово-серый)</t>
  </si>
  <si>
    <t>Темно-серо-коричневый</t>
  </si>
  <si>
    <t>Темно-серый</t>
  </si>
  <si>
    <t>Темно-синий</t>
  </si>
  <si>
    <t>Темно-синий (Цвет формы морских офицеров)</t>
  </si>
  <si>
    <t>Темно-синий Крайола</t>
  </si>
  <si>
    <t>Темно-фиолетовый</t>
  </si>
  <si>
    <t>Темное зеленое море</t>
  </si>
  <si>
    <t>Темный аспидно-синий</t>
  </si>
  <si>
    <t>Темный весенне-зеленый</t>
  </si>
  <si>
    <t>Темный желто-зеленый</t>
  </si>
  <si>
    <t>Темный желто-коричневый</t>
  </si>
  <si>
    <t>Темный желто-розовый</t>
  </si>
  <si>
    <t>Темный желтовато-зеленый</t>
  </si>
  <si>
    <t>Темный желтовато-коричневый</t>
  </si>
  <si>
    <t>Темный зеленовато-желто-зеленый</t>
  </si>
  <si>
    <t>Темный зеленовато-желтый</t>
  </si>
  <si>
    <t>Темный зеленовато-серый</t>
  </si>
  <si>
    <t>Темный зеленовато-синий</t>
  </si>
  <si>
    <t>Темный зеленый</t>
  </si>
  <si>
    <t>Темный зеленый чай</t>
  </si>
  <si>
    <t>Темный золотарник (Темно-золотой)</t>
  </si>
  <si>
    <t>Темный индиго</t>
  </si>
  <si>
    <t>Темный Коричневый</t>
  </si>
  <si>
    <t>Темный красно-коричневый</t>
  </si>
  <si>
    <t>Темный красно-оранжевый</t>
  </si>
  <si>
    <t>Темный красно-пурпурный</t>
  </si>
  <si>
    <t>Темный красно-серый</t>
  </si>
  <si>
    <t>Темный красный</t>
  </si>
  <si>
    <t>Темный маджента</t>
  </si>
  <si>
    <t>Темный мандарин</t>
  </si>
  <si>
    <t>Темный оливково-зеленый</t>
  </si>
  <si>
    <t>Темный оливково-коричневый</t>
  </si>
  <si>
    <t>Темный оранжево-желтый</t>
  </si>
  <si>
    <t>Темный пастельно-зеленый</t>
  </si>
  <si>
    <t>Темный пурпурно-красный</t>
  </si>
  <si>
    <t>Темный пурпурно-розовый</t>
  </si>
  <si>
    <t>Темный пурпурно-серый</t>
  </si>
  <si>
    <t>Темный пурпурно-синий</t>
  </si>
  <si>
    <t>Темный пурпурно-фиолетовый</t>
  </si>
  <si>
    <t>Темный розовый</t>
  </si>
  <si>
    <t>Темный серо-желтый</t>
  </si>
  <si>
    <t>Темный серо-коричневый</t>
  </si>
  <si>
    <t>Темный серо-красно-коричневый</t>
  </si>
  <si>
    <t>Темный серо-красный</t>
  </si>
  <si>
    <t>Темный серо-оливково-зеленый</t>
  </si>
  <si>
    <t>Темный серо-оливковый</t>
  </si>
  <si>
    <t>Темный серо-синий</t>
  </si>
  <si>
    <t>Темный синевато-зеленый</t>
  </si>
  <si>
    <t>Темный синевато-черный</t>
  </si>
  <si>
    <t>Темный телегрей</t>
  </si>
  <si>
    <t>Темный терракотовый</t>
  </si>
  <si>
    <t>Темный ультрамариновый</t>
  </si>
  <si>
    <t>Темный хаки</t>
  </si>
  <si>
    <t>Темный циан</t>
  </si>
  <si>
    <t>Темный черновато-пурпурный</t>
  </si>
  <si>
    <t>Темный янтарь</t>
  </si>
  <si>
    <t>Терракота</t>
  </si>
  <si>
    <t>Терракотовый</t>
  </si>
  <si>
    <t>Тиффани</t>
  </si>
  <si>
    <t>Тихоокеанский синий</t>
  </si>
  <si>
    <t>Тициановый</t>
  </si>
  <si>
    <t>Томатно-красный</t>
  </si>
  <si>
    <t>Томатный</t>
  </si>
  <si>
    <t>Травяной</t>
  </si>
  <si>
    <t>Травяной (Очень темный лимонный зеленый)</t>
  </si>
  <si>
    <t>Травяной зеленый</t>
  </si>
  <si>
    <t>Транспортно-желтый</t>
  </si>
  <si>
    <t>Транспортный зеленый</t>
  </si>
  <si>
    <t>Транспортный красный</t>
  </si>
  <si>
    <t>Транспортный оранжевый</t>
  </si>
  <si>
    <t>Транспортный пурпурный</t>
  </si>
  <si>
    <t>Транспортный серый</t>
  </si>
  <si>
    <t>Транспортный синий</t>
  </si>
  <si>
    <t>Транспортный черный</t>
  </si>
  <si>
    <t>Трилистник Крайола</t>
  </si>
  <si>
    <t>Тростниково-зеленый</t>
  </si>
  <si>
    <t>Турецкий розовый</t>
  </si>
  <si>
    <t>Тускло-амарантово-розовый</t>
  </si>
  <si>
    <t>Тускло-розовый</t>
  </si>
  <si>
    <t>Тусклый мандарин</t>
  </si>
  <si>
    <t>Тусклый пурпурный</t>
  </si>
  <si>
    <t>Тусклый серый</t>
  </si>
  <si>
    <t>Тыква (Тыквенный)</t>
  </si>
  <si>
    <t>Ультрамариново-синий</t>
  </si>
  <si>
    <t>Ультрамариновый</t>
  </si>
  <si>
    <t>Умбра жженая</t>
  </si>
  <si>
    <t>Умеренно-бирюзовый</t>
  </si>
  <si>
    <t>Умеренно-зеленое море</t>
  </si>
  <si>
    <t>Умеренно-оливковый</t>
  </si>
  <si>
    <t>Умеренно-темный пурпурный</t>
  </si>
  <si>
    <t>Умеренно зеленый</t>
  </si>
  <si>
    <t>Умеренный аквамариновый</t>
  </si>
  <si>
    <t>Умеренный аспидно-синий</t>
  </si>
  <si>
    <t>Умеренный весенний зеленый</t>
  </si>
  <si>
    <t>Умеренный желто-зеленый</t>
  </si>
  <si>
    <t>Умеренный желто-коричневый</t>
  </si>
  <si>
    <t>Умеренный желто-розовый</t>
  </si>
  <si>
    <t>Умеренный желтовато-зеленый</t>
  </si>
  <si>
    <t>Умеренный желтый</t>
  </si>
  <si>
    <t>Умеренный зеленовато-желтый</t>
  </si>
  <si>
    <t>Умеренный зеленовато-синий</t>
  </si>
  <si>
    <t>Умеренный зеленый</t>
  </si>
  <si>
    <t>Умеренный коричневый</t>
  </si>
  <si>
    <t>Умеренный красно-оранжевый</t>
  </si>
  <si>
    <t>Умеренный красно-пурпурный</t>
  </si>
  <si>
    <t>Умеренный красный</t>
  </si>
  <si>
    <t>Умеренный оливково-зеленый</t>
  </si>
  <si>
    <t>Умеренный оранжево-желтый</t>
  </si>
  <si>
    <t>Умеренный оранжевый</t>
  </si>
  <si>
    <t>Умеренный пурпурно-красный</t>
  </si>
  <si>
    <t>Умеренный пурпурно-розовый</t>
  </si>
  <si>
    <t>Умеренный пурпурно-синий</t>
  </si>
  <si>
    <t>Умеренный пурпурный</t>
  </si>
  <si>
    <t>Умеренный розовый</t>
  </si>
  <si>
    <t>Умеренный серо-коричневый</t>
  </si>
  <si>
    <t>Умеренный синевато-зеленый</t>
  </si>
  <si>
    <t>Умеренный синий</t>
  </si>
  <si>
    <t>Умеренный фиолетово-красный</t>
  </si>
  <si>
    <t>Умеренный фиолетовый</t>
  </si>
  <si>
    <t>Умеренный цвет орхидеи</t>
  </si>
  <si>
    <t>Фалунский красный</t>
  </si>
  <si>
    <t>Фанданго</t>
  </si>
  <si>
    <t>Фельдграу</t>
  </si>
  <si>
    <t>Фиалковый</t>
  </si>
  <si>
    <t>Фиолетово-баклажанный</t>
  </si>
  <si>
    <t>Фиолетово-красный Крайола</t>
  </si>
  <si>
    <t>Фиолетово-сизый</t>
  </si>
  <si>
    <t>Фиолетово-синий</t>
  </si>
  <si>
    <t>Фиолетово-синий Крайола</t>
  </si>
  <si>
    <t>Фиолетовый</t>
  </si>
  <si>
    <t>Фиолетовый Крайола (Пурпурный)</t>
  </si>
  <si>
    <t>Фисташковый</t>
  </si>
  <si>
    <t>Французский розовый</t>
  </si>
  <si>
    <t>Фталоцианиновый зеленый</t>
  </si>
  <si>
    <t>Фузи-вузи</t>
  </si>
  <si>
    <t>Фуксия (Фуксин)</t>
  </si>
  <si>
    <t>Фуксия Крайола</t>
  </si>
  <si>
    <t>Хаки</t>
  </si>
  <si>
    <t>Хромовый зеленый</t>
  </si>
  <si>
    <t>Цвет блошиного брюшка</t>
  </si>
  <si>
    <t>Цвет ВКонтакте</t>
  </si>
  <si>
    <t>Цвет влюбленной жабы</t>
  </si>
  <si>
    <t>Цвет детской неожиданности</t>
  </si>
  <si>
    <t>Цвет елки</t>
  </si>
  <si>
    <t>Цвет желтого школьного автобуса</t>
  </si>
  <si>
    <t>Цвет загара (Желто-коричневый)</t>
  </si>
  <si>
    <t>Цвет загара Крайола</t>
  </si>
  <si>
    <t>Цвет Красного моря</t>
  </si>
  <si>
    <t>Цвет маленького мандарина</t>
  </si>
  <si>
    <t>Цвет медвежьего ушка</t>
  </si>
  <si>
    <t>Цвет мокрого асфальта</t>
  </si>
  <si>
    <t>Цвет морской волны (Аква)</t>
  </si>
  <si>
    <t>Цвет морской раковины (Морская пена)</t>
  </si>
  <si>
    <t>Цвет окраски птицы чирок (Сине-зеленый)</t>
  </si>
  <si>
    <t>Цветочный белый</t>
  </si>
  <si>
    <t>Цвет пергидрольной блондинки</t>
  </si>
  <si>
    <t>Цвет пожарной машины</t>
  </si>
  <si>
    <t>Цвет слоновой кости (Айвори)</t>
  </si>
  <si>
    <t>Цвет суеты</t>
  </si>
  <si>
    <t>Цвет Твиттера</t>
  </si>
  <si>
    <t>Цвет Фейсбука</t>
  </si>
  <si>
    <t>Цвет Хабрахабра</t>
  </si>
  <si>
    <t>Цвет Черного моря</t>
  </si>
  <si>
    <t>Цвет шампанского</t>
  </si>
  <si>
    <t>Цвет шелковистых нитевидных пестиков початков неспелой кукурузы</t>
  </si>
  <si>
    <t>Цвет яйца дрозда</t>
  </si>
  <si>
    <t>Цвет Яндекса</t>
  </si>
  <si>
    <t>Цементно-серый (Цементный)</t>
  </si>
  <si>
    <t>Циан, Цвет морской волны</t>
  </si>
  <si>
    <t>Цинково-желтый</t>
  </si>
  <si>
    <t>Циннвальдит</t>
  </si>
  <si>
    <t>Циннвальдитово-розовый</t>
  </si>
  <si>
    <t>Черно-зеленый</t>
  </si>
  <si>
    <t>Черно-коричневый</t>
  </si>
  <si>
    <t>Черно-красный</t>
  </si>
  <si>
    <t>Черно-оливковый</t>
  </si>
  <si>
    <t>Черно-серый</t>
  </si>
  <si>
    <t>Черно-синий</t>
  </si>
  <si>
    <t>Черновато-зеленый</t>
  </si>
  <si>
    <t>Черновато-красный</t>
  </si>
  <si>
    <t>Черновато-пурпурный</t>
  </si>
  <si>
    <t>Черновато-синий</t>
  </si>
  <si>
    <t>Черный</t>
  </si>
  <si>
    <t>Черный янтарь</t>
  </si>
  <si>
    <t>Чертополох</t>
  </si>
  <si>
    <t>Чертополох Крайола</t>
  </si>
  <si>
    <t>Шамуа</t>
  </si>
  <si>
    <t>Шапка Деда Мороза</t>
  </si>
  <si>
    <t>Шапка Санта-Клауса</t>
  </si>
  <si>
    <t>Шартрез, Ядовито-зеленый</t>
  </si>
  <si>
    <t>Шафраново-желтый</t>
  </si>
  <si>
    <t>Шафрановый</t>
  </si>
  <si>
    <t>Шелковица Крайола</t>
  </si>
  <si>
    <t>Шокирующий розовый Крайола</t>
  </si>
  <si>
    <t>Шоколадно-коричневый</t>
  </si>
  <si>
    <t>Шоколадный</t>
  </si>
  <si>
    <t>Экрю</t>
  </si>
  <si>
    <t>Экстравагантный розовый Крайола</t>
  </si>
  <si>
    <t>Электрик</t>
  </si>
  <si>
    <t>Электрик лайм (Лаймовый)</t>
  </si>
  <si>
    <t>Электрик лайм Крайола</t>
  </si>
  <si>
    <t>Ядовито-зеленый</t>
  </si>
  <si>
    <t>Янтарный</t>
  </si>
  <si>
    <t>Яркий желто-зеленый</t>
  </si>
  <si>
    <t>Яркий желто-розовый</t>
  </si>
  <si>
    <t>Яркий зеленовато-желтый</t>
  </si>
  <si>
    <t>Яркий зеленый</t>
  </si>
  <si>
    <t>Яркий красно-оранжевый</t>
  </si>
  <si>
    <t>Яркий красно-пурпурный</t>
  </si>
  <si>
    <t>Яркий красный</t>
  </si>
  <si>
    <t>Яркий оранжево-желтый</t>
  </si>
  <si>
    <t>Яркий оранжевый</t>
  </si>
  <si>
    <t>Яркий пурпурно-красный</t>
  </si>
  <si>
    <t>Яркий пурпурный</t>
  </si>
  <si>
    <t>Яркий синевато-зеленый</t>
  </si>
  <si>
    <t>Яркий фиолетовый Крайола</t>
  </si>
  <si>
    <t>Ярко-бирюзовый</t>
  </si>
  <si>
    <t>Ярко-желтый</t>
  </si>
  <si>
    <t>Ярко-зеленый</t>
  </si>
  <si>
    <t>Ярко-мандариновый</t>
  </si>
  <si>
    <t>Ярко-розовый</t>
  </si>
  <si>
    <t>Ярко-синий</t>
  </si>
  <si>
    <t>Ярко-сиреневый</t>
  </si>
  <si>
    <t>Ярко-фиолетовый</t>
  </si>
  <si>
    <t>Белый-Черный</t>
  </si>
  <si>
    <t>Черно-Белый</t>
  </si>
  <si>
    <t>Бело-Синий</t>
  </si>
  <si>
    <t>НАЗАД→</t>
  </si>
  <si>
    <t>БЮСТГАЛТЕРЫ В НАБОРЕ, СОСТОЯЩЕМ ИЗ БЮСТГАЛТЕРА И ТРУСОВ, ПРЕДНАЗНАЧЕННОМ ДЛЯ РОЗНИЧНОЙ ПРОДАЖИ ТРИКОТАЖНЫЕ МАШИННОГО ИЛИ РУЧНОГО ВЯЗАНИЯ</t>
  </si>
  <si>
    <t>ПРОЧИЕ БЮСТГАЛТЕРЫ ТРИКОТАЖНЫЕ МАШИННОГО ИЛИ РУЧНОГО ВЯЗАНИЯ</t>
  </si>
  <si>
    <t>ГРАЦИИ ТРИКОТАЖНЫЕ МАШИННОГО ИЛИ РУЧНОГО ВЯЗАНИЯ</t>
  </si>
  <si>
    <t>ПОЯСА И ПОЯСА-ТРУСЫ ТРИКОТАЖНЫЕ МАШИННОГО ИЛИ РУЧНОГО ВЯЗАНИЯ</t>
  </si>
  <si>
    <t>ПРОЧИЕ КОРСЕТЫ, ПОДТЯЖКИ, ПОДВЯЗКИ И АНАЛОГИЧНЫЕ ИЗДЕЛИЯ И ИХ ЧАСТИ ТРИКОТАЖНЫЕ МАШИННОГО ИЛИ РУЧНОГО ВЯЗАНИЯ</t>
  </si>
  <si>
    <t>Выбрать шаблон этикетки</t>
  </si>
  <si>
    <t>Название</t>
  </si>
  <si>
    <t>Размер</t>
  </si>
  <si>
    <t>Уни 58/40</t>
  </si>
  <si>
    <t>58/40 мм</t>
  </si>
  <si>
    <t>Выбрать эту этикетку ?</t>
  </si>
  <si>
    <t>120/75 Обувь</t>
  </si>
  <si>
    <t>Штрих 58/40</t>
  </si>
  <si>
    <t>Никоделика</t>
  </si>
  <si>
    <t>УНИ 58/30</t>
  </si>
  <si>
    <t>58/30 мм</t>
  </si>
  <si>
    <t>Уни 40/58</t>
  </si>
  <si>
    <t>40/58 мм</t>
  </si>
  <si>
    <t>40/58 DataMatrix</t>
  </si>
  <si>
    <t>40/58</t>
  </si>
  <si>
    <t>вода 20/20</t>
  </si>
  <si>
    <t>20/20</t>
  </si>
  <si>
    <t>20/30 DataMatrix</t>
  </si>
  <si>
    <t>20/30</t>
  </si>
  <si>
    <t>Выбрать этот шаблон</t>
  </si>
  <si>
    <t>Выбрать другой шаблон</t>
  </si>
  <si>
    <t>Да</t>
  </si>
  <si>
    <t>VS</t>
  </si>
  <si>
    <t>105505</t>
  </si>
  <si>
    <t>МЕЖДУНАРОДНЫЙ</t>
  </si>
  <si>
    <t>34C</t>
  </si>
  <si>
    <t>111286</t>
  </si>
  <si>
    <t>32D</t>
  </si>
  <si>
    <t>111477</t>
  </si>
  <si>
    <t>111573</t>
  </si>
  <si>
    <t>L</t>
  </si>
  <si>
    <t>111775</t>
  </si>
  <si>
    <t>36D</t>
  </si>
  <si>
    <t>111978</t>
  </si>
  <si>
    <t>30C</t>
  </si>
  <si>
    <t>112008</t>
  </si>
  <si>
    <t>32DD</t>
  </si>
  <si>
    <t>112241</t>
  </si>
  <si>
    <t>38B</t>
  </si>
  <si>
    <t>112396</t>
  </si>
  <si>
    <t>32C</t>
  </si>
  <si>
    <t>111711</t>
  </si>
  <si>
    <t>38D</t>
  </si>
  <si>
    <t>112358</t>
  </si>
  <si>
    <t>34D</t>
  </si>
  <si>
    <t>109079</t>
  </si>
  <si>
    <t>40D</t>
  </si>
  <si>
    <t>109078</t>
  </si>
  <si>
    <t>111476</t>
  </si>
  <si>
    <t>110931</t>
  </si>
  <si>
    <t>32B</t>
  </si>
  <si>
    <t>110588</t>
  </si>
  <si>
    <t>36DD</t>
  </si>
  <si>
    <t>110144</t>
  </si>
  <si>
    <t>40C</t>
  </si>
  <si>
    <t>109924</t>
  </si>
  <si>
    <t>110524</t>
  </si>
  <si>
    <t>36B</t>
  </si>
  <si>
    <t>110861</t>
  </si>
  <si>
    <t>112293</t>
  </si>
  <si>
    <t>38DDD</t>
  </si>
  <si>
    <t>109284</t>
  </si>
  <si>
    <t>112660</t>
  </si>
  <si>
    <t>112661</t>
  </si>
  <si>
    <t>КОРСЕТ</t>
  </si>
  <si>
    <t>S</t>
  </si>
  <si>
    <t>112683</t>
  </si>
  <si>
    <t>112662</t>
  </si>
  <si>
    <t>38DD</t>
  </si>
  <si>
    <t>112684</t>
  </si>
  <si>
    <t>109344</t>
  </si>
  <si>
    <t>109488</t>
  </si>
  <si>
    <t>109685</t>
  </si>
  <si>
    <t>109761</t>
  </si>
  <si>
    <t>109760</t>
  </si>
  <si>
    <t>34B</t>
  </si>
  <si>
    <t>109762</t>
  </si>
  <si>
    <t>109883</t>
  </si>
  <si>
    <t>109987</t>
  </si>
  <si>
    <t>65% переработанный полиамид, 35% эластан</t>
  </si>
  <si>
    <t>остав: Верх, боковая часть: 47 % переработанный полиамид, 42 % полиамид, 10 % эластан, 1 % другие ткани. Подкладка боковой части: 83 % переработанный полиамид, 17 % эластан. Подкладка чашек: 100 % переработанный полиэстер.</t>
  </si>
  <si>
    <t>ИП Коновалов Роман Александрович</t>
  </si>
  <si>
    <t>550610979463</t>
  </si>
  <si>
    <t>11000773469</t>
  </si>
  <si>
    <t>Без товарного знака</t>
  </si>
  <si>
    <t>ПЛАТЬЕ</t>
  </si>
  <si>
    <t>жен.</t>
  </si>
  <si>
    <t>100% полиэстер</t>
  </si>
  <si>
    <t>красный</t>
  </si>
  <si>
    <t>синий</t>
  </si>
  <si>
    <t>бордо</t>
  </si>
  <si>
    <t>бирюзовый</t>
  </si>
  <si>
    <t>изумрудный</t>
  </si>
  <si>
    <t>электрик</t>
  </si>
  <si>
    <t xml:space="preserve">95% полиэстер 5% эластан </t>
  </si>
  <si>
    <t>баклажановый</t>
  </si>
  <si>
    <t>фуксия</t>
  </si>
  <si>
    <t xml:space="preserve">50% хлопое 50% полиэстер </t>
  </si>
  <si>
    <t>94% полиэстер 6% эластан</t>
  </si>
  <si>
    <t>пудра</t>
  </si>
  <si>
    <t>65% вискоза 35% полиэстер</t>
  </si>
  <si>
    <t>коралловый</t>
  </si>
  <si>
    <t>голубой</t>
  </si>
  <si>
    <r>
      <rPr>
        <sz val="12"/>
        <color rgb="FF000000"/>
        <rFont val="Calibri, sans-serif"/>
      </rPr>
      <t>0501</t>
    </r>
  </si>
  <si>
    <t>фиолетовый</t>
  </si>
  <si>
    <r>
      <rPr>
        <sz val="12"/>
        <color rgb="FF000000"/>
        <rFont val="Calibri, sans-serif"/>
      </rPr>
      <t>19965</t>
    </r>
  </si>
  <si>
    <t>95% полиэстер 5% эластан</t>
  </si>
  <si>
    <t>коричневый</t>
  </si>
  <si>
    <t xml:space="preserve">71% вискоза  27% полиэстер  2% эластан
</t>
  </si>
  <si>
    <t>95% полииэстр 5% лайкра</t>
  </si>
  <si>
    <t>салатовый</t>
  </si>
  <si>
    <t>лиловый</t>
  </si>
  <si>
    <t>серебряный</t>
  </si>
  <si>
    <r>
      <rPr>
        <sz val="12"/>
        <color rgb="FF000000"/>
        <rFont val="Calibri, sans-serif"/>
      </rPr>
      <t>035</t>
    </r>
  </si>
  <si>
    <r>
      <rPr>
        <sz val="12"/>
        <color rgb="FF000000"/>
        <rFont val="Calibri, sans-serif"/>
      </rPr>
      <t>028</t>
    </r>
  </si>
  <si>
    <r>
      <rPr>
        <sz val="12"/>
        <color rgb="FF000000"/>
        <rFont val="Calibri, sans-serif"/>
      </rPr>
      <t>0740</t>
    </r>
  </si>
  <si>
    <t>моренго</t>
  </si>
  <si>
    <r>
      <rPr>
        <sz val="12"/>
        <color rgb="FF000000"/>
        <rFont val="Calibri, sans-serif"/>
      </rPr>
      <t>0125941</t>
    </r>
  </si>
  <si>
    <t>сиреневый</t>
  </si>
  <si>
    <t>98% микрофибра  2% спандекс</t>
  </si>
  <si>
    <r>
      <rPr>
        <sz val="12"/>
        <color rgb="FF000000"/>
        <rFont val="Calibri, sans-serif"/>
      </rPr>
      <t>0139041</t>
    </r>
  </si>
  <si>
    <t>черный</t>
  </si>
  <si>
    <t>63% микрофибра 32% вискоза  5% спандекс</t>
  </si>
  <si>
    <t>КОМБИНЕЗОН</t>
  </si>
  <si>
    <t>95% хлопок 5% эластан</t>
  </si>
  <si>
    <t>94% полиэстер  6% лайкра</t>
  </si>
  <si>
    <t>КОСТЮМ</t>
  </si>
  <si>
    <t>95% полиэстер  5% спандекс</t>
  </si>
  <si>
    <r>
      <rPr>
        <sz val="12"/>
        <color rgb="FF000000"/>
        <rFont val="Calibri, sans-serif"/>
      </rPr>
      <t>03</t>
    </r>
  </si>
  <si>
    <t>зеленый</t>
  </si>
  <si>
    <t>80% лен 20% полиэстер</t>
  </si>
  <si>
    <t>50% хлопок 50% полиэстер</t>
  </si>
  <si>
    <t>80% хлопок 20% полиэстер</t>
  </si>
  <si>
    <r>
      <rPr>
        <sz val="12"/>
        <color rgb="FF000000"/>
        <rFont val="Calibri, sans-serif"/>
      </rPr>
      <t>0638</t>
    </r>
  </si>
  <si>
    <t>желтый</t>
  </si>
  <si>
    <t>горчичный</t>
  </si>
  <si>
    <t>вишневый</t>
  </si>
  <si>
    <t>80% лен  20% полиэстер</t>
  </si>
  <si>
    <t>95% полиэстер 5% лайкра</t>
  </si>
  <si>
    <t>ЮБКА</t>
  </si>
  <si>
    <t>65% хлопок 35% полиэстер</t>
  </si>
  <si>
    <t>БЛУЗКА</t>
  </si>
  <si>
    <t>95% полиэстер  5% эластан</t>
  </si>
  <si>
    <t>Польша</t>
  </si>
  <si>
    <t>100% микрофибра</t>
  </si>
  <si>
    <t>СВЕТЛО-БИРЮЗОВЫЙ</t>
  </si>
  <si>
    <t>БЕЛАРУСЬ</t>
  </si>
  <si>
    <t>100% хлопок</t>
  </si>
  <si>
    <t xml:space="preserve">50% полиэстер 40% вискоза </t>
  </si>
  <si>
    <t>65% хлопок 35% эластан</t>
  </si>
  <si>
    <t>94% полиэстер 6% лайкра</t>
  </si>
  <si>
    <t>95% полиэстер 5% спандекс</t>
  </si>
  <si>
    <t>71% хлопок 27% полиэстер 2% эластан</t>
  </si>
  <si>
    <t>90% вискоза 10% эластан</t>
  </si>
  <si>
    <t>92% микрофибра 8% спандекс</t>
  </si>
  <si>
    <t>96% спандекс 4% лайкра</t>
  </si>
  <si>
    <t>63% микрофибра 32% вискоза 5% спандекс</t>
  </si>
  <si>
    <t>68% вискоза 27% нейлон 5% спандекс</t>
  </si>
  <si>
    <t>КАКАО</t>
  </si>
  <si>
    <t>80% вискоза 20% полиэстер</t>
  </si>
  <si>
    <t>70% вискоза 30% полиэстер</t>
  </si>
  <si>
    <t>65% вискоза 35% нейлон</t>
  </si>
  <si>
    <t>95% микрофибра 5% спандекс</t>
  </si>
  <si>
    <t>75% вискоза 25% нейлон</t>
  </si>
  <si>
    <t>94% микрофибра 6% спандекс</t>
  </si>
  <si>
    <t>АНТРАЦИТ</t>
  </si>
  <si>
    <t xml:space="preserve">100% полиэстер             </t>
  </si>
  <si>
    <t xml:space="preserve">95% полиэстер 5% лайкра        </t>
  </si>
  <si>
    <t>ПУДРА</t>
  </si>
  <si>
    <t>персиковый</t>
  </si>
  <si>
    <t>75% микрофибра 25% вискоза</t>
  </si>
  <si>
    <t>СТАЛЬ</t>
  </si>
  <si>
    <t>70% полиэстер 10% лайкра 20% вискоза</t>
  </si>
  <si>
    <t>БЮРЮЗОВЫЙ</t>
  </si>
  <si>
    <t>МЯТА</t>
  </si>
  <si>
    <t>70% тенсель 30% вискоза</t>
  </si>
  <si>
    <t>90% полиэстер 5% спандекс 5% лайкра</t>
  </si>
  <si>
    <t>0112441</t>
  </si>
  <si>
    <t>0040</t>
  </si>
  <si>
    <t>5670</t>
  </si>
  <si>
    <t>537</t>
  </si>
  <si>
    <t>1023</t>
  </si>
  <si>
    <t>013</t>
  </si>
  <si>
    <t>7449</t>
  </si>
  <si>
    <t>7538</t>
  </si>
  <si>
    <t>5674</t>
  </si>
  <si>
    <t>7632</t>
  </si>
  <si>
    <t>70% тенсель 30% полиэстер</t>
  </si>
  <si>
    <t>5461</t>
  </si>
  <si>
    <t>70% хлопок 30% полиэстер</t>
  </si>
  <si>
    <t>12248</t>
  </si>
  <si>
    <t>5379</t>
  </si>
  <si>
    <t>5815</t>
  </si>
  <si>
    <t>23197</t>
  </si>
  <si>
    <t>63% полиэстер 34% вискоза</t>
  </si>
  <si>
    <t>7441</t>
  </si>
  <si>
    <t>7488</t>
  </si>
  <si>
    <t>4870</t>
  </si>
  <si>
    <t>50% капрон 50% полиэстер</t>
  </si>
  <si>
    <t>7159</t>
  </si>
  <si>
    <t>7474</t>
  </si>
  <si>
    <t>7527</t>
  </si>
  <si>
    <t>6050</t>
  </si>
  <si>
    <t>7555</t>
  </si>
  <si>
    <t>7479</t>
  </si>
  <si>
    <t>7464</t>
  </si>
  <si>
    <t>80% полиэстер 20% вискоза</t>
  </si>
  <si>
    <t>095</t>
  </si>
  <si>
    <t>5274</t>
  </si>
  <si>
    <t>80% хлопок 20% полимид</t>
  </si>
  <si>
    <t>7437</t>
  </si>
  <si>
    <t>7509</t>
  </si>
  <si>
    <t>7003</t>
  </si>
  <si>
    <t>0116600</t>
  </si>
  <si>
    <t>01311341</t>
  </si>
  <si>
    <t>5734</t>
  </si>
  <si>
    <t>5809</t>
  </si>
  <si>
    <t>75% тенсель 25% полиэстер</t>
  </si>
  <si>
    <t>417834</t>
  </si>
  <si>
    <t>60% полиэстер 40% вискоза</t>
  </si>
  <si>
    <t>0120342</t>
  </si>
  <si>
    <t>КАРАМЕЛЬНЫЙ</t>
  </si>
  <si>
    <t>5338</t>
  </si>
  <si>
    <t>3003</t>
  </si>
  <si>
    <t>2867</t>
  </si>
  <si>
    <t>30% хлопок 55% полиэстер</t>
  </si>
  <si>
    <t>0105848</t>
  </si>
  <si>
    <t>34% вискоза 64% микрофибра 2% спандекс</t>
  </si>
  <si>
    <t>5768</t>
  </si>
  <si>
    <t>50% хлопок 40% акрил 10% вискоза</t>
  </si>
  <si>
    <t>1402</t>
  </si>
  <si>
    <t>8151</t>
  </si>
  <si>
    <t>1217</t>
  </si>
  <si>
    <t>4828</t>
  </si>
  <si>
    <t>4059</t>
  </si>
  <si>
    <t>6974</t>
  </si>
  <si>
    <t>7050</t>
  </si>
  <si>
    <t>7286</t>
  </si>
  <si>
    <t>418075</t>
  </si>
  <si>
    <t>5468</t>
  </si>
  <si>
    <t>7447</t>
  </si>
  <si>
    <t>5973</t>
  </si>
  <si>
    <t>7573</t>
  </si>
  <si>
    <t>4196</t>
  </si>
  <si>
    <t>7531</t>
  </si>
  <si>
    <t>1379</t>
  </si>
  <si>
    <t>1013</t>
  </si>
  <si>
    <t>5553</t>
  </si>
  <si>
    <t>5939</t>
  </si>
  <si>
    <t>1954</t>
  </si>
  <si>
    <t>70% хлопок 30% вискоза</t>
  </si>
  <si>
    <t>545</t>
  </si>
  <si>
    <t>00070</t>
  </si>
  <si>
    <t>43% вискоза 50% лен 7% эластан</t>
  </si>
  <si>
    <t>5341</t>
  </si>
  <si>
    <t>100% вискоза</t>
  </si>
  <si>
    <t>7490</t>
  </si>
  <si>
    <t>8339</t>
  </si>
  <si>
    <t>7311</t>
  </si>
  <si>
    <t>80% тенсель 20% полиэстер</t>
  </si>
  <si>
    <t>7406</t>
  </si>
  <si>
    <t>417783</t>
  </si>
  <si>
    <t>60% полиэстер 35% вискоза 5% эластан</t>
  </si>
  <si>
    <t>7207</t>
  </si>
  <si>
    <t>100% тенсель</t>
  </si>
  <si>
    <t>3041</t>
  </si>
  <si>
    <t>96% ацетат</t>
  </si>
  <si>
    <t>8257</t>
  </si>
  <si>
    <t>0119341</t>
  </si>
  <si>
    <t>7355</t>
  </si>
  <si>
    <t>1302</t>
  </si>
  <si>
    <t>7258</t>
  </si>
  <si>
    <t>0123442</t>
  </si>
  <si>
    <t>8202</t>
  </si>
  <si>
    <t>7196</t>
  </si>
  <si>
    <t>5509</t>
  </si>
  <si>
    <t>2837</t>
  </si>
  <si>
    <t>0745</t>
  </si>
  <si>
    <t>4007</t>
  </si>
  <si>
    <t>7290</t>
  </si>
  <si>
    <t>4831</t>
  </si>
  <si>
    <t>5960</t>
  </si>
  <si>
    <t>4850</t>
  </si>
  <si>
    <t>4898</t>
  </si>
  <si>
    <t>4752</t>
  </si>
  <si>
    <t>4864</t>
  </si>
  <si>
    <t>7343</t>
  </si>
  <si>
    <t>5% эластан 35% вискоза 60% полиэстер</t>
  </si>
  <si>
    <t>6099</t>
  </si>
  <si>
    <t>7365</t>
  </si>
  <si>
    <t>7389</t>
  </si>
  <si>
    <t>4642</t>
  </si>
  <si>
    <t>70% полиэстер 30% вискоза</t>
  </si>
  <si>
    <t>4656</t>
  </si>
  <si>
    <t>0125541</t>
  </si>
  <si>
    <t>1171</t>
  </si>
  <si>
    <t>621</t>
  </si>
  <si>
    <t>7183561</t>
  </si>
  <si>
    <t>3523</t>
  </si>
  <si>
    <t>7059</t>
  </si>
  <si>
    <t>1273</t>
  </si>
  <si>
    <t>0137542</t>
  </si>
  <si>
    <t>4865</t>
  </si>
  <si>
    <t>0125342</t>
  </si>
  <si>
    <t>СВЕТЛО-СИРЕНЕВЫЙ</t>
  </si>
  <si>
    <t>1727</t>
  </si>
  <si>
    <t>055</t>
  </si>
  <si>
    <t>5922</t>
  </si>
  <si>
    <t>50% лен 50% вискоза</t>
  </si>
  <si>
    <t>56656</t>
  </si>
  <si>
    <t>538</t>
  </si>
  <si>
    <t>6087</t>
  </si>
  <si>
    <t>7175</t>
  </si>
  <si>
    <t>7219</t>
  </si>
  <si>
    <t>72</t>
  </si>
  <si>
    <t>5327</t>
  </si>
  <si>
    <t>95% вискоза 5% лайкра</t>
  </si>
  <si>
    <t>7166</t>
  </si>
  <si>
    <t>105</t>
  </si>
  <si>
    <t>6032</t>
  </si>
  <si>
    <t>5446</t>
  </si>
  <si>
    <t>763</t>
  </si>
  <si>
    <t>7010</t>
  </si>
  <si>
    <t>515</t>
  </si>
  <si>
    <t>0131643</t>
  </si>
  <si>
    <t>53838</t>
  </si>
  <si>
    <t>1538</t>
  </si>
  <si>
    <t>XL</t>
  </si>
  <si>
    <t>7119</t>
  </si>
  <si>
    <t>7030</t>
  </si>
  <si>
    <t>7754</t>
  </si>
  <si>
    <t>0021</t>
  </si>
  <si>
    <t>704</t>
  </si>
  <si>
    <t>8603</t>
  </si>
  <si>
    <t>7395</t>
  </si>
  <si>
    <t>7517</t>
  </si>
  <si>
    <t>7303</t>
  </si>
  <si>
    <t>1613</t>
  </si>
  <si>
    <t>7000</t>
  </si>
  <si>
    <t>1805</t>
  </si>
  <si>
    <t>62% ацетат 35% полиэстер 3% лайкра</t>
  </si>
  <si>
    <t>1277</t>
  </si>
  <si>
    <t>1722</t>
  </si>
  <si>
    <t>МОЛОЧННЫЙ</t>
  </si>
  <si>
    <t>4664</t>
  </si>
  <si>
    <t>426</t>
  </si>
  <si>
    <t>4672</t>
  </si>
  <si>
    <t>3025</t>
  </si>
  <si>
    <t>0128341</t>
  </si>
  <si>
    <t>0137841</t>
  </si>
  <si>
    <t>39% нейлон 33% вискоза 28% хлопок</t>
  </si>
  <si>
    <t>1889</t>
  </si>
  <si>
    <t>692</t>
  </si>
  <si>
    <t>977</t>
  </si>
  <si>
    <t>3256</t>
  </si>
  <si>
    <t>2777</t>
  </si>
  <si>
    <t>3152</t>
  </si>
  <si>
    <t>2629</t>
  </si>
  <si>
    <r>
      <rPr>
        <sz val="12"/>
        <color rgb="FF000000"/>
        <rFont val="Calibri, sans-serif"/>
      </rPr>
      <t>0052</t>
    </r>
  </si>
  <si>
    <r>
      <rPr>
        <sz val="12"/>
        <color rgb="FF000000"/>
        <rFont val="Calibri, sans-serif"/>
      </rPr>
      <t>фуксия</t>
    </r>
  </si>
  <si>
    <r>
      <rPr>
        <sz val="12"/>
        <color rgb="FF000000"/>
        <rFont val="Calibri, sans-serif"/>
      </rPr>
      <t>бледно-сиренев.</t>
    </r>
  </si>
  <si>
    <r>
      <rPr>
        <sz val="12"/>
        <color rgb="FF000000"/>
        <rFont val="Calibri, sans-serif"/>
      </rPr>
      <t>0059</t>
    </r>
  </si>
  <si>
    <r>
      <rPr>
        <sz val="12"/>
        <color rgb="FF000000"/>
        <rFont val="Calibri, sans-serif"/>
      </rPr>
      <t>розовый</t>
    </r>
  </si>
  <si>
    <r>
      <rPr>
        <sz val="12"/>
        <color rgb="FF000000"/>
        <rFont val="Calibri, sans-serif"/>
      </rPr>
      <t>красный,черный</t>
    </r>
  </si>
  <si>
    <r>
      <rPr>
        <sz val="12"/>
        <color rgb="FF000000"/>
        <rFont val="Calibri, sans-serif"/>
      </rPr>
      <t>пудра</t>
    </r>
  </si>
  <si>
    <r>
      <rPr>
        <sz val="12"/>
        <color rgb="FF000000"/>
        <rFont val="Calibri, sans-serif"/>
      </rPr>
      <t>голубой</t>
    </r>
  </si>
  <si>
    <r>
      <rPr>
        <sz val="12"/>
        <color rgb="FF000000"/>
        <rFont val="Calibri, sans-serif"/>
      </rPr>
      <t>электрик</t>
    </r>
  </si>
  <si>
    <r>
      <rPr>
        <sz val="12"/>
        <color rgb="FF000000"/>
        <rFont val="Calibri, sans-serif"/>
      </rPr>
      <t>черный</t>
    </r>
  </si>
  <si>
    <t>ИЗУМРУД</t>
  </si>
  <si>
    <t>70% вискоза 20% полиэстер 10% лайкра</t>
  </si>
  <si>
    <t>90% микрофибра 10% лайкра</t>
  </si>
  <si>
    <t>90% микрофибра 10% спандекс</t>
  </si>
  <si>
    <t>95% хлопок 5% полиэстер</t>
  </si>
  <si>
    <t>96% хлопок 6% эластан</t>
  </si>
  <si>
    <t>кружево: 100 % полиамид. Лямки: 79 % полиамид, 21 % эластан. Подкладка чашечек: 100 % полиэстер.</t>
  </si>
  <si>
    <t>Верх, подладка боковой части: 75 % переработанный полиамид, 25 % эластан. Подкладка чашек: 100 % переработанный полиэстер.</t>
  </si>
  <si>
    <t>Чашка: 65 % переработанный полиамид, 35 % эластан. Сетка: 100 % полиэстер. Боковая часть, подкладка боковой части: 88 % полиамид, 12 % эластан. Подкладка чашек: 100 % переработанный полиэстер.</t>
  </si>
  <si>
    <t>Верх, подкладка боковой части: 71% переработанный полиамид, 29% эластан. Подкладка чашек: 100% переработанный полиэстер.</t>
  </si>
  <si>
    <t>Верх, боковая часть, подкладка боковой части: 53% хлопок, 36% модал, 11% эластан. Подкладка чашек: 100% переработанный полиэстер. Резинка: 49% полиамид, 36% полиэстер, 15% эластан.</t>
  </si>
  <si>
    <t>Верх: 100% полиамид. Вышивка: 100% полиэстер. Боковя часть: 79 % полиамид, 21 % эластан.</t>
  </si>
  <si>
    <t>Верх: 100% полиамид. Вышивка: 100% полиэстер. Боковая часть, подкладка боковой части: 79 % полиамид, 21 % эластан. Подкладка чашек: 100 % полиамид.</t>
  </si>
  <si>
    <t>Верх, боковая часть, подкладка боковой части: 53% хлопок, 36% модал, 11% эластан. Подкладка чашек: 100% переработанный полиэстер. Резинка: 77% полиамид, 12% эластан, 11% полиэстер.</t>
  </si>
  <si>
    <t>Чашка: 65 % переработанный полиамид, 35 % эластан. Сетка: 100 % полиэстер. Боковая часть, подкладка боковой части: 88 % полиамид, 12 % эластан. Подкладка чашки: 100 % переработанный полиэстер.</t>
  </si>
  <si>
    <t xml:space="preserve"> Верх, боковая часть: 88% полиамид, 12% эластан. Подкладка чашек: 100 % полиамид. Отделка: 86% полиамид, 14% эластан.</t>
  </si>
  <si>
    <t>Верх: 65% переработанный полиамид, 35% эластан. Подкладка боковой части: 58% полиамид, 42% эластан. Подкладка чашек: 100% переработанный полиэстер.</t>
  </si>
  <si>
    <t>Верх, подкладка боковой части 53% хлопок, 35% модал, 11% эластан. Подкладка чашек: 100% переработанный полиэстер.</t>
  </si>
  <si>
    <t>верх, подкладка боковой части: 51 % полиамид, 38 % полиэстер, 11% эластан.</t>
  </si>
  <si>
    <t>Верх, боковая часть: 84% полиамид, 16% эластан. Отделка: 86% полиамид, 14% эластан.</t>
  </si>
  <si>
    <t>Чашки: 83 % переработанный полиамид, 17 % эластан. Кружево, боковая часть: 59 % переработаный полиамид, 29 % полиамид, 12 % эластан. Подкладка чашек: 71% полиамид, 29% эластан. Подкладка боковой части: 88 % полиамид, 12 % эластан.</t>
  </si>
  <si>
    <t>Верх, Боковая часть: 67 % переработанный полиамид, 33 % эластан. Подкладка боковой части: 71 % полиамид, 29 % эластан. Подкладка чашек: 100 % переработанный полиэстер.</t>
  </si>
  <si>
    <t>Верх, боковая часть: 57% хлопок, 37% переработанный полиэстер, 6% эластан. Подкладка боковой части: 53% хлопок, 36% модал, 11% эластан. Подкладка чашек: 100% переработанный полиэстер. Отделка: 66% полиамид, 34% эластан.</t>
  </si>
  <si>
    <t xml:space="preserve"> Верх, подкладка боковой части: 53 % хлопок, 36 % модал, 11 % эластан. Подкладка чашек: 100 % переработанный полиэстер.</t>
  </si>
  <si>
    <t xml:space="preserve"> Верх, боковая часть: 67 % переработанный полиамид, 33 % эластан. Подкладка боковой части: 71 % полиамид, 29 % эластан. Подкладка чашек: 100 % переработанный полиэстер.</t>
  </si>
  <si>
    <t>Верх, боковая часть: 83 % переработанный полиамид, 17 % эластан. Подкладка чашек: 100 % полиэстер.</t>
  </si>
  <si>
    <t>Чашка: 65% переработанный полиамид, 35% эластан. Сетка: 100% полиэстер. Боковая часть: 88 % полиамид, 12 % эластан. Подкладка чашек: 100% переработанный полиэстер.</t>
  </si>
  <si>
    <t>Верх: 100 % шёлк. Подкладка: 100 % полиамид. Трусы: Верх: 100 % шёлк. Ластовица: 100 % модал.</t>
  </si>
  <si>
    <t>Чашки: 60% переработанный полиамид, 40% полиамид. Подкладка чашек: 100% переработанный полиэстер. Поддержка боковой части: 100%  полиэстер. Боковая часть: 79% полиамид, 21% эластан.</t>
  </si>
  <si>
    <t>Верх: 83% переработанный полиамид, 17% эластан. Лямки: 88% полиамид, 12% эластан. Подкладка чашек: 100% переработанный полиэстер. Кружево: 87% полиамид, 13% эластан.</t>
  </si>
  <si>
    <t>Верх, кружево: 55 % переработанный полиамид, 30 % полиамид, 10 % эластан, 5 % люрексовая нить. Лямки: 88 % полиамид, 12 % эластан. Подкладка чашек: 100 % переработанный полиэстер.</t>
  </si>
  <si>
    <t>Верх, боковая часть, подкладка боковой части72% полиамид, 28% эластан. Подкладка чашек: 100% полиэстер.</t>
  </si>
  <si>
    <t xml:space="preserve"> Верх, лямки: 83 % переработанный полиамид, 17% эластан. Подкладка чашек: 100 % переработанный полиэстер.</t>
  </si>
  <si>
    <t>Чашки, подкладка боковой части: 76% полиамид, 24% эластан. Боковая часть: 83% полиамид, 17% эластан. Подкладка чашек: 100% полиэстер.</t>
  </si>
  <si>
    <t>Верх, подкладка боковой части: 51 % полиамид, 38 % полиэстер, 11% эластан. Подкладка чашек: 100 % полиэстер.</t>
  </si>
  <si>
    <t>Верх, боковая часть: 54% переработанный полиамид, 39% полиамид, 7% эластан. Подкладка боковой части: 79% полиамид, 21% эластан. Подкладка чашек: 100% переработанный полиэстер.</t>
  </si>
  <si>
    <t>Верх, подкладка, боковая часть: 67 % полиамид, 33 % эластан. Подкладка боковой части: 74 % полиамид, 26 % эластан.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</si>
</sst>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0"/>
      <color rgb="FF000000"/>
      <name val="Arial"/>
      <family val="2"/>
      <charset val="204"/>
    </font>
    <font>
      <sz val="10"/>
      <name val="Arial"/>
      <family val="2"/>
      <charset val="1"/>
    </font>
    <font>
      <sz val="12"/>
      <color rgb="FF000000"/>
      <name val="Arial"/>
      <family val="2"/>
      <charset val="204"/>
    </font>
    <font>
      <sz val="2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1"/>
    </font>
    <font>
      <sz val="10"/>
      <color rgb="FF000000"/>
      <name val="Arial"/>
      <family val="2"/>
      <charset val="204"/>
    </font>
    <font>
      <u/>
      <sz val="10"/>
      <color theme="10"/>
      <name val="Arial"/>
      <family val="2"/>
      <charset val="1"/>
    </font>
    <font>
      <u/>
      <sz val="10"/>
      <color theme="10"/>
      <name val="Arial"/>
      <family val="2"/>
      <charset val="204"/>
    </font>
    <font>
      <u/>
      <sz val="20"/>
      <color theme="1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theme="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rgb="FF000000"/>
      <name val="Arial"/>
    </font>
    <font>
      <sz val="10"/>
      <color theme="1"/>
      <name val="Calibri"/>
      <scheme val="minor"/>
    </font>
    <font>
      <sz val="10"/>
      <color theme="1"/>
      <name val="Calibri"/>
    </font>
    <font>
      <sz val="12"/>
      <color rgb="FF000000"/>
      <name val="Calibri, sans-serif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B00"/>
        <bgColor rgb="FF400000"/>
      </patternFill>
    </fill>
    <fill>
      <patternFill patternType="solid">
        <fgColor rgb="FFFFFB00"/>
        <bgColor indexed="64"/>
      </patternFill>
    </fill>
    <fill>
      <patternFill patternType="solid">
        <fgColor rgb="FFE3E3E3"/>
        <bgColor rgb="FF400000"/>
      </patternFill>
    </fill>
    <fill>
      <patternFill patternType="solid">
        <fgColor rgb="FFE3E3E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CC"/>
        <bgColor rgb="FF400000"/>
      </patternFill>
    </fill>
    <fill>
      <patternFill patternType="solid">
        <fgColor theme="7" tint="0.79998168889431442"/>
        <bgColor rgb="FF4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49" fontId="3" fillId="0" borderId="0"/>
    <xf numFmtId="49" fontId="9" fillId="0" borderId="0" applyNumberFormat="0" applyFill="0" applyBorder="0" applyAlignment="0" applyProtection="0"/>
    <xf numFmtId="0" fontId="8" fillId="0" borderId="0"/>
  </cellStyleXfs>
  <cellXfs count="122">
    <xf numFmtId="0" fontId="0" fillId="0" borderId="0" xfId="0"/>
    <xf numFmtId="49" fontId="2" fillId="3" borderId="3" xfId="1" applyNumberFormat="1" applyFont="1" applyFill="1" applyBorder="1" applyAlignment="1" applyProtection="1">
      <alignment horizontal="center" vertical="center"/>
      <protection locked="0"/>
    </xf>
    <xf numFmtId="49" fontId="2" fillId="3" borderId="3" xfId="2" applyFont="1" applyFill="1" applyBorder="1" applyAlignment="1" applyProtection="1">
      <alignment horizontal="center" vertical="center"/>
      <protection locked="0"/>
    </xf>
    <xf numFmtId="0" fontId="2" fillId="4" borderId="1" xfId="1" applyFont="1" applyFill="1" applyBorder="1" applyAlignment="1">
      <alignment vertical="center"/>
    </xf>
    <xf numFmtId="0" fontId="1" fillId="4" borderId="1" xfId="1" applyFill="1" applyBorder="1" applyAlignment="1">
      <alignment vertical="center"/>
    </xf>
    <xf numFmtId="49" fontId="2" fillId="4" borderId="1" xfId="1" applyNumberFormat="1" applyFont="1" applyFill="1" applyBorder="1" applyAlignment="1">
      <alignment horizontal="center" vertical="center"/>
    </xf>
    <xf numFmtId="0" fontId="1" fillId="0" borderId="0" xfId="1"/>
    <xf numFmtId="49" fontId="3" fillId="0" borderId="0" xfId="2"/>
    <xf numFmtId="49" fontId="2" fillId="4" borderId="1" xfId="2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49" fontId="6" fillId="5" borderId="1" xfId="2" applyFont="1" applyFill="1" applyBorder="1" applyAlignment="1" applyProtection="1">
      <alignment horizontal="center" wrapText="1"/>
      <protection hidden="1"/>
    </xf>
    <xf numFmtId="49" fontId="7" fillId="6" borderId="1" xfId="2" applyFont="1" applyFill="1" applyBorder="1" applyAlignment="1">
      <alignment horizontal="center" wrapText="1"/>
    </xf>
    <xf numFmtId="49" fontId="6" fillId="5" borderId="2" xfId="2" applyFont="1" applyFill="1" applyBorder="1" applyAlignment="1" applyProtection="1">
      <alignment horizontal="center" wrapText="1"/>
      <protection hidden="1"/>
    </xf>
    <xf numFmtId="49" fontId="6" fillId="5" borderId="1" xfId="2" applyFont="1" applyFill="1" applyBorder="1" applyAlignment="1">
      <alignment horizontal="center" wrapText="1"/>
    </xf>
    <xf numFmtId="49" fontId="3" fillId="7" borderId="1" xfId="2" applyFill="1" applyBorder="1" applyAlignment="1" applyProtection="1">
      <alignment horizontal="center" wrapText="1"/>
      <protection hidden="1"/>
    </xf>
    <xf numFmtId="49" fontId="3" fillId="8" borderId="1" xfId="2" applyFill="1" applyBorder="1" applyAlignment="1">
      <alignment horizontal="center" wrapText="1"/>
    </xf>
    <xf numFmtId="49" fontId="8" fillId="7" borderId="2" xfId="2" applyFont="1" applyFill="1" applyBorder="1" applyAlignment="1" applyProtection="1">
      <alignment horizontal="center" wrapText="1"/>
      <protection hidden="1"/>
    </xf>
    <xf numFmtId="49" fontId="8" fillId="7" borderId="1" xfId="2" applyFont="1" applyFill="1" applyBorder="1" applyAlignment="1" applyProtection="1">
      <alignment horizontal="center" wrapText="1"/>
      <protection hidden="1"/>
    </xf>
    <xf numFmtId="49" fontId="3" fillId="7" borderId="7" xfId="2" applyFill="1" applyBorder="1" applyAlignment="1">
      <alignment horizontal="center" wrapText="1"/>
    </xf>
    <xf numFmtId="49" fontId="3" fillId="9" borderId="0" xfId="2" applyFill="1" applyAlignment="1">
      <alignment horizontal="center"/>
    </xf>
    <xf numFmtId="49" fontId="8" fillId="7" borderId="1" xfId="2" applyFont="1" applyFill="1" applyBorder="1" applyAlignment="1">
      <alignment horizontal="center" wrapText="1"/>
    </xf>
    <xf numFmtId="49" fontId="3" fillId="7" borderId="2" xfId="2" applyFill="1" applyBorder="1" applyAlignment="1" applyProtection="1">
      <alignment horizontal="center" wrapText="1"/>
      <protection hidden="1"/>
    </xf>
    <xf numFmtId="49" fontId="3" fillId="7" borderId="1" xfId="2" applyFill="1" applyBorder="1" applyAlignment="1">
      <alignment horizontal="center" wrapText="1"/>
    </xf>
    <xf numFmtId="49" fontId="9" fillId="10" borderId="8" xfId="3" applyFill="1" applyBorder="1" applyAlignment="1" applyProtection="1">
      <alignment horizontal="center" vertical="center" wrapText="1"/>
      <protection hidden="1"/>
    </xf>
    <xf numFmtId="49" fontId="8" fillId="11" borderId="1" xfId="2" applyFont="1" applyFill="1" applyBorder="1" applyAlignment="1" applyProtection="1">
      <alignment horizontal="center" vertical="center" wrapText="1"/>
      <protection hidden="1"/>
    </xf>
    <xf numFmtId="49" fontId="9" fillId="11" borderId="1" xfId="3" applyFill="1" applyBorder="1" applyAlignment="1" applyProtection="1">
      <alignment horizontal="center" vertical="center" wrapText="1"/>
      <protection hidden="1"/>
    </xf>
    <xf numFmtId="49" fontId="3" fillId="11" borderId="1" xfId="2" applyFill="1" applyBorder="1" applyAlignment="1" applyProtection="1">
      <alignment horizontal="center" wrapText="1"/>
      <protection hidden="1"/>
    </xf>
    <xf numFmtId="49" fontId="8" fillId="10" borderId="1" xfId="2" applyFont="1" applyFill="1" applyBorder="1" applyAlignment="1">
      <alignment horizontal="center" wrapText="1"/>
    </xf>
    <xf numFmtId="49" fontId="3" fillId="12" borderId="0" xfId="2" applyFill="1"/>
    <xf numFmtId="0" fontId="3" fillId="12" borderId="9" xfId="2" applyNumberFormat="1" applyFill="1" applyBorder="1"/>
    <xf numFmtId="49" fontId="3" fillId="0" borderId="0" xfId="2" applyProtection="1">
      <protection locked="0"/>
    </xf>
    <xf numFmtId="49" fontId="7" fillId="0" borderId="1" xfId="2" applyFont="1" applyBorder="1" applyAlignment="1">
      <alignment horizontal="center"/>
    </xf>
    <xf numFmtId="49" fontId="8" fillId="0" borderId="0" xfId="2" applyFont="1"/>
    <xf numFmtId="0" fontId="3" fillId="0" borderId="0" xfId="2" applyNumberFormat="1"/>
    <xf numFmtId="49" fontId="3" fillId="13" borderId="0" xfId="2" applyFill="1"/>
    <xf numFmtId="49" fontId="11" fillId="0" borderId="0" xfId="3" applyNumberFormat="1" applyFont="1" applyFill="1" applyAlignment="1">
      <alignment vertical="center"/>
    </xf>
    <xf numFmtId="0" fontId="8" fillId="14" borderId="0" xfId="4" applyFill="1"/>
    <xf numFmtId="0" fontId="6" fillId="14" borderId="0" xfId="4" applyFont="1" applyFill="1"/>
    <xf numFmtId="0" fontId="6" fillId="14" borderId="0" xfId="4" applyFont="1" applyFill="1" applyAlignment="1">
      <alignment horizontal="center"/>
    </xf>
    <xf numFmtId="0" fontId="8" fillId="0" borderId="0" xfId="4" applyAlignment="1">
      <alignment horizontal="center"/>
    </xf>
    <xf numFmtId="0" fontId="8" fillId="0" borderId="0" xfId="4"/>
    <xf numFmtId="0" fontId="6" fillId="0" borderId="0" xfId="4" applyFont="1" applyAlignment="1">
      <alignment horizontal="center"/>
    </xf>
    <xf numFmtId="49" fontId="6" fillId="0" borderId="0" xfId="2" applyFont="1" applyAlignment="1">
      <alignment horizontal="center"/>
    </xf>
    <xf numFmtId="0" fontId="6" fillId="0" borderId="0" xfId="4" applyFont="1"/>
    <xf numFmtId="0" fontId="6" fillId="12" borderId="1" xfId="4" applyFont="1" applyFill="1" applyBorder="1" applyAlignment="1">
      <alignment horizontal="center"/>
    </xf>
    <xf numFmtId="0" fontId="12" fillId="0" borderId="0" xfId="4" applyFont="1" applyAlignment="1">
      <alignment vertical="center"/>
    </xf>
    <xf numFmtId="0" fontId="8" fillId="14" borderId="0" xfId="4" applyFill="1" applyAlignment="1">
      <alignment horizontal="center"/>
    </xf>
    <xf numFmtId="0" fontId="13" fillId="0" borderId="0" xfId="4" applyFont="1"/>
    <xf numFmtId="0" fontId="14" fillId="0" borderId="0" xfId="4" applyFont="1"/>
    <xf numFmtId="0" fontId="13" fillId="15" borderId="0" xfId="4" applyFont="1" applyFill="1"/>
    <xf numFmtId="0" fontId="14" fillId="0" borderId="0" xfId="4" applyFont="1" applyAlignment="1">
      <alignment horizontal="center"/>
    </xf>
    <xf numFmtId="0" fontId="8" fillId="15" borderId="0" xfId="4" applyFill="1"/>
    <xf numFmtId="0" fontId="8" fillId="4" borderId="0" xfId="4" applyFill="1"/>
    <xf numFmtId="49" fontId="7" fillId="6" borderId="1" xfId="2" applyFont="1" applyFill="1" applyBorder="1" applyAlignment="1">
      <alignment horizontal="center" wrapText="1"/>
    </xf>
    <xf numFmtId="49" fontId="3" fillId="8" borderId="1" xfId="2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49" fontId="2" fillId="4" borderId="4" xfId="2" applyFont="1" applyFill="1" applyBorder="1" applyAlignment="1">
      <alignment horizontal="center" vertical="center"/>
    </xf>
    <xf numFmtId="49" fontId="2" fillId="4" borderId="5" xfId="2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4" fillId="4" borderId="4" xfId="2" applyFont="1" applyFill="1" applyBorder="1" applyAlignment="1">
      <alignment horizontal="center" vertical="top"/>
    </xf>
    <xf numFmtId="49" fontId="5" fillId="4" borderId="5" xfId="2" applyFont="1" applyFill="1" applyBorder="1" applyAlignment="1">
      <alignment horizontal="center" vertical="top"/>
    </xf>
    <xf numFmtId="49" fontId="7" fillId="0" borderId="1" xfId="2" applyFont="1" applyBorder="1" applyAlignment="1">
      <alignment horizontal="center"/>
    </xf>
    <xf numFmtId="49" fontId="3" fillId="0" borderId="0" xfId="2"/>
    <xf numFmtId="0" fontId="8" fillId="0" borderId="0" xfId="4" applyAlignment="1">
      <alignment horizontal="center"/>
    </xf>
    <xf numFmtId="0" fontId="15" fillId="16" borderId="1" xfId="0" applyFont="1" applyFill="1" applyBorder="1"/>
    <xf numFmtId="0" fontId="0" fillId="4" borderId="1" xfId="0" applyFill="1" applyBorder="1" applyProtection="1">
      <protection locked="0"/>
    </xf>
    <xf numFmtId="0" fontId="15" fillId="17" borderId="1" xfId="0" applyFont="1" applyFill="1" applyBorder="1"/>
    <xf numFmtId="0" fontId="16" fillId="0" borderId="1" xfId="0" applyFont="1" applyBorder="1"/>
    <xf numFmtId="49" fontId="0" fillId="0" borderId="0" xfId="0" applyNumberFormat="1"/>
    <xf numFmtId="164" fontId="0" fillId="0" borderId="0" xfId="0" applyNumberFormat="1"/>
    <xf numFmtId="0" fontId="15" fillId="0" borderId="1" xfId="0" applyFont="1" applyBorder="1"/>
    <xf numFmtId="49" fontId="0" fillId="13" borderId="0" xfId="0" applyNumberFormat="1" applyFill="1"/>
    <xf numFmtId="0" fontId="17" fillId="17" borderId="1" xfId="0" applyFont="1" applyFill="1" applyBorder="1"/>
    <xf numFmtId="49" fontId="16" fillId="0" borderId="1" xfId="0" applyNumberFormat="1" applyFont="1" applyBorder="1"/>
    <xf numFmtId="0" fontId="16" fillId="0" borderId="1" xfId="0" applyFont="1" applyBorder="1" applyAlignment="1">
      <alignment wrapText="1"/>
    </xf>
    <xf numFmtId="0" fontId="0" fillId="18" borderId="1" xfId="0" applyFill="1" applyBorder="1"/>
    <xf numFmtId="0" fontId="0" fillId="18" borderId="1" xfId="0" applyFill="1" applyBorder="1" applyProtection="1">
      <protection locked="0"/>
    </xf>
    <xf numFmtId="49" fontId="0" fillId="18" borderId="1" xfId="0" applyNumberFormat="1" applyFill="1" applyBorder="1" applyProtection="1">
      <protection locked="0"/>
    </xf>
    <xf numFmtId="0" fontId="19" fillId="18" borderId="1" xfId="0" applyFont="1" applyFill="1" applyBorder="1" applyProtection="1">
      <protection locked="0"/>
    </xf>
    <xf numFmtId="0" fontId="0" fillId="18" borderId="0" xfId="0" applyFill="1"/>
    <xf numFmtId="0" fontId="0" fillId="12" borderId="1" xfId="0" applyFill="1" applyBorder="1"/>
    <xf numFmtId="49" fontId="0" fillId="15" borderId="1" xfId="0" applyNumberFormat="1" applyFill="1" applyBorder="1" applyProtection="1">
      <protection locked="0"/>
    </xf>
    <xf numFmtId="0" fontId="0" fillId="15" borderId="1" xfId="0" applyFill="1" applyBorder="1"/>
    <xf numFmtId="0" fontId="19" fillId="15" borderId="1" xfId="0" applyFon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20" fillId="15" borderId="1" xfId="0" applyFont="1" applyFill="1" applyBorder="1"/>
    <xf numFmtId="49" fontId="0" fillId="12" borderId="1" xfId="0" applyNumberFormat="1" applyFill="1" applyBorder="1"/>
    <xf numFmtId="49" fontId="0" fillId="15" borderId="1" xfId="0" applyNumberFormat="1" applyFill="1" applyBorder="1"/>
    <xf numFmtId="49" fontId="20" fillId="15" borderId="1" xfId="0" applyNumberFormat="1" applyFont="1" applyFill="1" applyBorder="1"/>
    <xf numFmtId="0" fontId="0" fillId="0" borderId="1" xfId="0" applyBorder="1"/>
    <xf numFmtId="0" fontId="20" fillId="0" borderId="1" xfId="0" applyFont="1" applyBorder="1"/>
    <xf numFmtId="0" fontId="0" fillId="12" borderId="8" xfId="0" applyFill="1" applyBorder="1"/>
    <xf numFmtId="0" fontId="0" fillId="4" borderId="8" xfId="0" applyFill="1" applyBorder="1" applyProtection="1">
      <protection locked="0"/>
    </xf>
    <xf numFmtId="49" fontId="0" fillId="15" borderId="8" xfId="0" applyNumberFormat="1" applyFill="1" applyBorder="1"/>
    <xf numFmtId="0" fontId="0" fillId="15" borderId="8" xfId="0" applyFill="1" applyBorder="1"/>
    <xf numFmtId="0" fontId="20" fillId="0" borderId="8" xfId="0" applyFont="1" applyBorder="1"/>
    <xf numFmtId="0" fontId="15" fillId="19" borderId="1" xfId="0" applyFont="1" applyFill="1" applyBorder="1"/>
    <xf numFmtId="0" fontId="15" fillId="4" borderId="1" xfId="0" applyFont="1" applyFill="1" applyBorder="1"/>
    <xf numFmtId="0" fontId="15" fillId="16" borderId="8" xfId="0" applyFont="1" applyFill="1" applyBorder="1"/>
    <xf numFmtId="0" fontId="15" fillId="17" borderId="8" xfId="0" applyFont="1" applyFill="1" applyBorder="1"/>
    <xf numFmtId="0" fontId="16" fillId="0" borderId="8" xfId="0" applyFont="1" applyBorder="1"/>
    <xf numFmtId="0" fontId="15" fillId="19" borderId="8" xfId="0" applyFont="1" applyFill="1" applyBorder="1"/>
    <xf numFmtId="0" fontId="15" fillId="0" borderId="8" xfId="0" applyFont="1" applyBorder="1"/>
    <xf numFmtId="0" fontId="15" fillId="4" borderId="8" xfId="0" applyFont="1" applyFill="1" applyBorder="1"/>
    <xf numFmtId="0" fontId="0" fillId="0" borderId="8" xfId="0" applyBorder="1"/>
    <xf numFmtId="0" fontId="16" fillId="19" borderId="1" xfId="0" applyFont="1" applyFill="1" applyBorder="1"/>
    <xf numFmtId="0" fontId="18" fillId="0" borderId="1" xfId="0" applyFont="1" applyBorder="1"/>
    <xf numFmtId="164" fontId="0" fillId="0" borderId="1" xfId="0" applyNumberFormat="1" applyBorder="1"/>
    <xf numFmtId="0" fontId="0" fillId="20" borderId="0" xfId="0" applyFill="1"/>
    <xf numFmtId="0" fontId="0" fillId="20" borderId="1" xfId="0" applyFill="1" applyBorder="1"/>
    <xf numFmtId="0" fontId="0" fillId="20" borderId="1" xfId="0" applyFill="1" applyBorder="1" applyProtection="1">
      <protection locked="0"/>
    </xf>
    <xf numFmtId="0" fontId="8" fillId="20" borderId="1" xfId="0" applyFon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0" fillId="12" borderId="0" xfId="0" applyFill="1"/>
    <xf numFmtId="0" fontId="8" fillId="4" borderId="1" xfId="0" applyFont="1" applyFill="1" applyBorder="1" applyProtection="1">
      <protection locked="0"/>
    </xf>
    <xf numFmtId="0" fontId="19" fillId="4" borderId="1" xfId="0" applyFont="1" applyFill="1" applyBorder="1" applyProtection="1">
      <protection locked="0"/>
    </xf>
    <xf numFmtId="0" fontId="8" fillId="4" borderId="7" xfId="0" applyFont="1" applyFill="1" applyBorder="1" applyProtection="1">
      <protection locked="0"/>
    </xf>
  </cellXfs>
  <cellStyles count="5">
    <cellStyle name="Гиперссылка 2" xfId="3"/>
    <cellStyle name="Обычный" xfId="0" builtinId="0"/>
    <cellStyle name="Обычный 2" xfId="1"/>
    <cellStyle name="Обычный 3" xfId="2"/>
    <cellStyle name="Обычный 3 2" xfId="4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b/>
        <i val="0"/>
        <strike val="0"/>
        <u val="none"/>
      </font>
      <numFmt numFmtId="0" formatCode="General"/>
      <fill>
        <patternFill>
          <bgColor theme="9" tint="0.59996337778862885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923924</xdr:colOff>
      <xdr:row>20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6C8CF92-1FE4-4587-A1BF-9AAE5E21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5"/>
          <a:ext cx="4905374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9524</xdr:rowOff>
    </xdr:from>
    <xdr:to>
      <xdr:col>8</xdr:col>
      <xdr:colOff>914399</xdr:colOff>
      <xdr:row>39</xdr:row>
      <xdr:rowOff>28574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5876AC2-9732-4D57-B232-663AB1D9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6624"/>
          <a:ext cx="4895849" cy="296227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129</xdr:row>
      <xdr:rowOff>28576</xdr:rowOff>
    </xdr:from>
    <xdr:to>
      <xdr:col>8</xdr:col>
      <xdr:colOff>295275</xdr:colOff>
      <xdr:row>154</xdr:row>
      <xdr:rowOff>123825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7B96976-92D8-48F9-9F68-AEC9AAD9F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1012151"/>
          <a:ext cx="3743325" cy="414337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9524</xdr:rowOff>
    </xdr:from>
    <xdr:to>
      <xdr:col>8</xdr:col>
      <xdr:colOff>904875</xdr:colOff>
      <xdr:row>60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E87615B-C4D4-4316-870C-7D5B5819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581774"/>
          <a:ext cx="4886324" cy="32289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61</xdr:row>
      <xdr:rowOff>9525</xdr:rowOff>
    </xdr:from>
    <xdr:to>
      <xdr:col>8</xdr:col>
      <xdr:colOff>895350</xdr:colOff>
      <xdr:row>81</xdr:row>
      <xdr:rowOff>9525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60D583A-09EF-4E74-BCB4-6878D6240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982200"/>
          <a:ext cx="4876799" cy="32385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81</xdr:row>
      <xdr:rowOff>161924</xdr:rowOff>
    </xdr:from>
    <xdr:to>
      <xdr:col>8</xdr:col>
      <xdr:colOff>895351</xdr:colOff>
      <xdr:row>98</xdr:row>
      <xdr:rowOff>9524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05D3247-4AD9-48F0-B981-001AA140E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3373099"/>
          <a:ext cx="4876800" cy="260032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99</xdr:row>
      <xdr:rowOff>38101</xdr:rowOff>
    </xdr:from>
    <xdr:to>
      <xdr:col>8</xdr:col>
      <xdr:colOff>314850</xdr:colOff>
      <xdr:row>127</xdr:row>
      <xdr:rowOff>95251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A8B7A2F-3106-4714-9559-14FE2A13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6163926"/>
          <a:ext cx="3762900" cy="45910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173</xdr:row>
      <xdr:rowOff>47625</xdr:rowOff>
    </xdr:from>
    <xdr:to>
      <xdr:col>6</xdr:col>
      <xdr:colOff>133673</xdr:colOff>
      <xdr:row>191</xdr:row>
      <xdr:rowOff>67084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A249A74-848D-4067-9C14-2D36F5AE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28155900"/>
          <a:ext cx="2314898" cy="2934109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173</xdr:row>
      <xdr:rowOff>57150</xdr:rowOff>
    </xdr:from>
    <xdr:to>
      <xdr:col>6</xdr:col>
      <xdr:colOff>133350</xdr:colOff>
      <xdr:row>191</xdr:row>
      <xdr:rowOff>66675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7EEAB612-E776-4CF3-ADA3-68F6F005FB26}"/>
            </a:ext>
          </a:extLst>
        </xdr:cNvPr>
        <xdr:cNvSpPr/>
      </xdr:nvSpPr>
      <xdr:spPr>
        <a:xfrm>
          <a:off x="1228725" y="28165425"/>
          <a:ext cx="2314575" cy="29241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571501</xdr:colOff>
      <xdr:row>157</xdr:row>
      <xdr:rowOff>1</xdr:rowOff>
    </xdr:from>
    <xdr:to>
      <xdr:col>6</xdr:col>
      <xdr:colOff>292827</xdr:colOff>
      <xdr:row>171</xdr:row>
      <xdr:rowOff>114301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2E3C66F-C6CB-4F91-8FE2-A0C4A203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1" y="25517476"/>
          <a:ext cx="2521676" cy="238125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156</xdr:row>
      <xdr:rowOff>142876</xdr:rowOff>
    </xdr:from>
    <xdr:to>
      <xdr:col>6</xdr:col>
      <xdr:colOff>95250</xdr:colOff>
      <xdr:row>170</xdr:row>
      <xdr:rowOff>28576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71FD455E-BA0B-4C88-B6DE-E02798E7EB91}"/>
            </a:ext>
          </a:extLst>
        </xdr:cNvPr>
        <xdr:cNvSpPr/>
      </xdr:nvSpPr>
      <xdr:spPr>
        <a:xfrm>
          <a:off x="1371600" y="25498426"/>
          <a:ext cx="2133600" cy="21526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16</xdr:col>
      <xdr:colOff>142875</xdr:colOff>
      <xdr:row>2</xdr:row>
      <xdr:rowOff>123823</xdr:rowOff>
    </xdr:from>
    <xdr:to>
      <xdr:col>23</xdr:col>
      <xdr:colOff>238126</xdr:colOff>
      <xdr:row>29</xdr:row>
      <xdr:rowOff>47624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73383BF-529A-48C5-A6E7-05339D5B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5" y="476248"/>
          <a:ext cx="4362451" cy="436245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14</xdr:col>
      <xdr:colOff>438150</xdr:colOff>
      <xdr:row>24</xdr:row>
      <xdr:rowOff>57150</xdr:rowOff>
    </xdr:from>
    <xdr:to>
      <xdr:col>25</xdr:col>
      <xdr:colOff>76200</xdr:colOff>
      <xdr:row>31</xdr:row>
      <xdr:rowOff>43530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638CB718-ABEA-4BFF-9706-05F8C7A73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alphaModFix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93000"/>
                  </a14:imgEffect>
                  <a14:imgEffect>
                    <a14:colorTemperature colorTemp="5196"/>
                  </a14:imgEffect>
                  <a14:imgEffect>
                    <a14:saturation sat="297000"/>
                  </a14:imgEffect>
                  <a14:imgEffect>
                    <a14:brightnessContrast bright="-33000" contrast="-1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-1827" r="-1827"/>
        <a:stretch/>
      </xdr:blipFill>
      <xdr:spPr>
        <a:xfrm rot="20877957">
          <a:off x="11296650" y="4038600"/>
          <a:ext cx="6343650" cy="1119855"/>
        </a:xfrm>
        <a:prstGeom prst="roundRect">
          <a:avLst>
            <a:gd name="adj" fmla="val 16667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57000">
              <a:schemeClr val="accent1">
                <a:lumMod val="37000"/>
                <a:lumOff val="63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outerShdw blurRad="152400" dist="12000" dir="900000" sy="98000" kx="110000" ky="200000" algn="tl" rotWithShape="0">
            <a:srgbClr val="000000">
              <a:alpha val="14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contourClr>
            <a:srgbClr val="969696"/>
          </a:contourClr>
        </a:sp3d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923924</xdr:colOff>
      <xdr:row>20</xdr:row>
      <xdr:rowOff>57150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D0C7708-2E95-486D-A969-070BF9153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5"/>
          <a:ext cx="4905374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9524</xdr:rowOff>
    </xdr:from>
    <xdr:to>
      <xdr:col>8</xdr:col>
      <xdr:colOff>914399</xdr:colOff>
      <xdr:row>39</xdr:row>
      <xdr:rowOff>28574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E6A6F6C-01EA-487E-AEE8-3884381E3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6624"/>
          <a:ext cx="4895849" cy="296227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129</xdr:row>
      <xdr:rowOff>28576</xdr:rowOff>
    </xdr:from>
    <xdr:to>
      <xdr:col>8</xdr:col>
      <xdr:colOff>295275</xdr:colOff>
      <xdr:row>154</xdr:row>
      <xdr:rowOff>123825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628BB1C2-50FD-4CFC-8A97-F6FB956F8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1012151"/>
          <a:ext cx="3743325" cy="414337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9524</xdr:rowOff>
    </xdr:from>
    <xdr:to>
      <xdr:col>8</xdr:col>
      <xdr:colOff>904875</xdr:colOff>
      <xdr:row>60</xdr:row>
      <xdr:rowOff>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3C5D2BA-9D60-4624-9D57-E3344EED1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581774"/>
          <a:ext cx="4886324" cy="32289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61</xdr:row>
      <xdr:rowOff>9525</xdr:rowOff>
    </xdr:from>
    <xdr:to>
      <xdr:col>8</xdr:col>
      <xdr:colOff>895350</xdr:colOff>
      <xdr:row>81</xdr:row>
      <xdr:rowOff>9525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2EACA3A9-ED8A-47D4-974E-8EBF551B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982200"/>
          <a:ext cx="4876799" cy="32385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81</xdr:row>
      <xdr:rowOff>161924</xdr:rowOff>
    </xdr:from>
    <xdr:to>
      <xdr:col>8</xdr:col>
      <xdr:colOff>895351</xdr:colOff>
      <xdr:row>98</xdr:row>
      <xdr:rowOff>9524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33F10911-8341-4220-A7FC-308F42D1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3373099"/>
          <a:ext cx="4876800" cy="260032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99</xdr:row>
      <xdr:rowOff>38101</xdr:rowOff>
    </xdr:from>
    <xdr:to>
      <xdr:col>8</xdr:col>
      <xdr:colOff>314850</xdr:colOff>
      <xdr:row>127</xdr:row>
      <xdr:rowOff>95251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A08C18A-0E47-4B0E-AE14-689A62A77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6163926"/>
          <a:ext cx="3762900" cy="45910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173</xdr:row>
      <xdr:rowOff>47625</xdr:rowOff>
    </xdr:from>
    <xdr:to>
      <xdr:col>6</xdr:col>
      <xdr:colOff>133673</xdr:colOff>
      <xdr:row>191</xdr:row>
      <xdr:rowOff>67084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F862B104-746E-40A3-A9E2-52F4BAE7F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28155900"/>
          <a:ext cx="2314898" cy="2934109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173</xdr:row>
      <xdr:rowOff>57150</xdr:rowOff>
    </xdr:from>
    <xdr:to>
      <xdr:col>6</xdr:col>
      <xdr:colOff>133350</xdr:colOff>
      <xdr:row>191</xdr:row>
      <xdr:rowOff>66675</xdr:rowOff>
    </xdr:to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F21039C9-7FA7-4A5A-9196-C6323751DAC0}"/>
            </a:ext>
          </a:extLst>
        </xdr:cNvPr>
        <xdr:cNvSpPr/>
      </xdr:nvSpPr>
      <xdr:spPr>
        <a:xfrm>
          <a:off x="1228725" y="28165425"/>
          <a:ext cx="2314575" cy="29241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571501</xdr:colOff>
      <xdr:row>157</xdr:row>
      <xdr:rowOff>1</xdr:rowOff>
    </xdr:from>
    <xdr:to>
      <xdr:col>6</xdr:col>
      <xdr:colOff>292827</xdr:colOff>
      <xdr:row>171</xdr:row>
      <xdr:rowOff>114301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BBBC913-894F-4574-8D2E-C6AEF40E7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1" y="25517476"/>
          <a:ext cx="2521676" cy="238125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156</xdr:row>
      <xdr:rowOff>142876</xdr:rowOff>
    </xdr:from>
    <xdr:to>
      <xdr:col>6</xdr:col>
      <xdr:colOff>95250</xdr:colOff>
      <xdr:row>170</xdr:row>
      <xdr:rowOff>28576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895E3040-EABE-4860-A668-B2DDA65909C4}"/>
            </a:ext>
          </a:extLst>
        </xdr:cNvPr>
        <xdr:cNvSpPr/>
      </xdr:nvSpPr>
      <xdr:spPr>
        <a:xfrm>
          <a:off x="1371600" y="25498426"/>
          <a:ext cx="2133600" cy="21526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16</xdr:col>
      <xdr:colOff>142875</xdr:colOff>
      <xdr:row>2</xdr:row>
      <xdr:rowOff>123823</xdr:rowOff>
    </xdr:from>
    <xdr:to>
      <xdr:col>23</xdr:col>
      <xdr:colOff>238126</xdr:colOff>
      <xdr:row>29</xdr:row>
      <xdr:rowOff>47624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72F65A7-5D29-4B4E-9B7F-CE658C0A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5" y="476248"/>
          <a:ext cx="4362451" cy="436245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14</xdr:col>
      <xdr:colOff>438150</xdr:colOff>
      <xdr:row>24</xdr:row>
      <xdr:rowOff>57150</xdr:rowOff>
    </xdr:from>
    <xdr:to>
      <xdr:col>25</xdr:col>
      <xdr:colOff>76200</xdr:colOff>
      <xdr:row>31</xdr:row>
      <xdr:rowOff>43530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2E0F1B66-FA8F-4F0E-9869-12D862C85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alphaModFix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93000"/>
                  </a14:imgEffect>
                  <a14:imgEffect>
                    <a14:colorTemperature colorTemp="5196"/>
                  </a14:imgEffect>
                  <a14:imgEffect>
                    <a14:saturation sat="297000"/>
                  </a14:imgEffect>
                  <a14:imgEffect>
                    <a14:brightnessContrast bright="-33000" contrast="-1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-1827" r="-1827"/>
        <a:stretch/>
      </xdr:blipFill>
      <xdr:spPr>
        <a:xfrm rot="20877957">
          <a:off x="11296650" y="4038600"/>
          <a:ext cx="6343650" cy="1119855"/>
        </a:xfrm>
        <a:prstGeom prst="roundRect">
          <a:avLst>
            <a:gd name="adj" fmla="val 16667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57000">
              <a:schemeClr val="accent1">
                <a:lumMod val="37000"/>
                <a:lumOff val="63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outerShdw blurRad="152400" dist="12000" dir="900000" sy="98000" kx="110000" ky="200000" algn="tl" rotWithShape="0">
            <a:srgbClr val="000000">
              <a:alpha val="14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contourClr>
            <a:srgbClr val="969696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qiviad/Desktop/&#1050;&#1086;&#1087;&#1080;&#1103;%20&#1041;&#1077;&#1083;&#1100;&#1077;%20SmartMa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тикет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788"/>
  <sheetViews>
    <sheetView tabSelected="1" topLeftCell="A518" zoomScaleNormal="100" workbookViewId="0">
      <selection activeCell="M54" sqref="M54"/>
    </sheetView>
  </sheetViews>
  <sheetFormatPr defaultColWidth="9.140625" defaultRowHeight="12.75"/>
  <cols>
    <col min="1" max="1" width="15" style="7" customWidth="1"/>
    <col min="2" max="2" width="75.140625" style="7" customWidth="1"/>
    <col min="3" max="3" width="32" style="7" customWidth="1"/>
    <col min="4" max="4" width="31" style="7" customWidth="1"/>
    <col min="5" max="5" width="48" style="7" customWidth="1"/>
    <col min="6" max="7" width="35" style="7" customWidth="1"/>
    <col min="8" max="8" width="48" style="7" customWidth="1"/>
    <col min="9" max="9" width="46" style="7" customWidth="1"/>
    <col min="10" max="10" width="30.85546875" style="7" customWidth="1"/>
    <col min="11" max="11" width="30.85546875" style="7" hidden="1" customWidth="1"/>
    <col min="12" max="12" width="48" style="7" customWidth="1"/>
    <col min="13" max="13" width="28" style="7" customWidth="1"/>
    <col min="14" max="14" width="64.7109375" style="7" customWidth="1"/>
    <col min="15" max="15" width="34.85546875" style="7" customWidth="1"/>
    <col min="16" max="17" width="48" style="7" customWidth="1"/>
    <col min="18" max="18" width="47" style="7" customWidth="1"/>
    <col min="19" max="19" width="53" style="7" customWidth="1"/>
    <col min="20" max="16384" width="9.140625" style="7"/>
  </cols>
  <sheetData>
    <row r="1" spans="1:20" ht="27" thickBot="1">
      <c r="A1" s="57" t="s">
        <v>0</v>
      </c>
      <c r="B1" s="58"/>
      <c r="C1" s="1" t="s">
        <v>1687</v>
      </c>
      <c r="D1" s="59" t="s">
        <v>1</v>
      </c>
      <c r="E1" s="60"/>
      <c r="F1" s="2" t="s">
        <v>1627</v>
      </c>
      <c r="G1" s="3"/>
      <c r="H1" s="4"/>
      <c r="I1" s="5"/>
      <c r="J1" s="6"/>
      <c r="K1" s="6"/>
      <c r="L1" s="6"/>
      <c r="M1" s="6"/>
      <c r="N1" s="6"/>
      <c r="O1" s="6"/>
      <c r="P1" s="6"/>
    </row>
    <row r="2" spans="1:20" ht="27" thickBot="1">
      <c r="A2" s="61" t="s">
        <v>3</v>
      </c>
      <c r="B2" s="62"/>
      <c r="C2" s="1" t="s">
        <v>1688</v>
      </c>
      <c r="D2" s="63" t="s">
        <v>4</v>
      </c>
      <c r="E2" s="64"/>
      <c r="F2" s="8"/>
      <c r="G2" s="9"/>
      <c r="H2" s="10"/>
      <c r="I2" s="5"/>
      <c r="J2" s="6"/>
      <c r="K2" s="6"/>
      <c r="L2" s="6"/>
      <c r="M2" s="6"/>
      <c r="N2" s="6"/>
      <c r="O2" s="6"/>
      <c r="P2" s="6"/>
    </row>
    <row r="3" spans="1:20" ht="27" thickBot="1">
      <c r="A3" s="61" t="s">
        <v>5</v>
      </c>
      <c r="B3" s="62"/>
      <c r="C3" s="1" t="s">
        <v>1689</v>
      </c>
      <c r="D3" s="11"/>
      <c r="E3" s="10"/>
      <c r="F3" s="5"/>
      <c r="G3" s="9"/>
      <c r="H3" s="10"/>
      <c r="I3" s="5"/>
      <c r="J3" s="6"/>
      <c r="K3" s="6"/>
      <c r="L3" s="6"/>
      <c r="M3" s="6"/>
      <c r="N3" s="6"/>
      <c r="O3" s="6"/>
      <c r="P3" s="6"/>
    </row>
    <row r="4" spans="1:20" ht="25.5">
      <c r="A4" s="12" t="s">
        <v>6</v>
      </c>
      <c r="B4" s="12" t="s">
        <v>7</v>
      </c>
      <c r="C4" s="13" t="s">
        <v>8</v>
      </c>
      <c r="D4" s="55" t="s">
        <v>9</v>
      </c>
      <c r="E4" s="55" t="s">
        <v>9</v>
      </c>
      <c r="F4" s="13" t="s">
        <v>10</v>
      </c>
      <c r="G4" s="13" t="s">
        <v>11</v>
      </c>
      <c r="H4" s="13" t="s">
        <v>12</v>
      </c>
      <c r="I4" s="55" t="s">
        <v>13</v>
      </c>
      <c r="J4" s="55" t="s">
        <v>13</v>
      </c>
      <c r="K4" s="13"/>
      <c r="L4" s="13" t="s">
        <v>14</v>
      </c>
      <c r="M4" s="13" t="s">
        <v>6</v>
      </c>
      <c r="N4" s="13" t="s">
        <v>15</v>
      </c>
      <c r="O4" s="14" t="s">
        <v>16</v>
      </c>
      <c r="P4" s="12" t="s">
        <v>17</v>
      </c>
      <c r="Q4" s="15"/>
      <c r="R4" s="15"/>
      <c r="S4" s="12" t="s">
        <v>18</v>
      </c>
      <c r="T4" s="15" t="s">
        <v>19</v>
      </c>
    </row>
    <row r="5" spans="1:20">
      <c r="A5" s="16" t="s">
        <v>20</v>
      </c>
      <c r="B5" s="16" t="s">
        <v>21</v>
      </c>
      <c r="C5" s="17" t="s">
        <v>22</v>
      </c>
      <c r="D5" s="56" t="s">
        <v>23</v>
      </c>
      <c r="E5" s="56" t="s">
        <v>23</v>
      </c>
      <c r="F5" s="17" t="s">
        <v>24</v>
      </c>
      <c r="G5" s="17" t="s">
        <v>25</v>
      </c>
      <c r="H5" s="17" t="s">
        <v>26</v>
      </c>
      <c r="I5" s="56" t="s">
        <v>27</v>
      </c>
      <c r="J5" s="56" t="s">
        <v>27</v>
      </c>
      <c r="K5" s="17"/>
      <c r="L5" s="17" t="s">
        <v>28</v>
      </c>
      <c r="M5" s="17" t="s">
        <v>29</v>
      </c>
      <c r="N5" s="17" t="s">
        <v>30</v>
      </c>
      <c r="O5" s="18" t="s">
        <v>31</v>
      </c>
      <c r="P5" s="19" t="s">
        <v>32</v>
      </c>
      <c r="Q5" s="20" t="s">
        <v>33</v>
      </c>
      <c r="R5" s="21">
        <v>557</v>
      </c>
      <c r="S5" s="16" t="s">
        <v>34</v>
      </c>
      <c r="T5" s="22" t="s">
        <v>35</v>
      </c>
    </row>
    <row r="6" spans="1:20">
      <c r="A6" s="16" t="s">
        <v>36</v>
      </c>
      <c r="B6" s="16" t="s">
        <v>36</v>
      </c>
      <c r="C6" s="17" t="s">
        <v>36</v>
      </c>
      <c r="D6" s="17" t="s">
        <v>37</v>
      </c>
      <c r="E6" s="17" t="s">
        <v>36</v>
      </c>
      <c r="F6" s="17" t="s">
        <v>36</v>
      </c>
      <c r="G6" s="17" t="s">
        <v>36</v>
      </c>
      <c r="H6" s="17" t="s">
        <v>36</v>
      </c>
      <c r="I6" s="17" t="s">
        <v>37</v>
      </c>
      <c r="J6" s="17" t="s">
        <v>36</v>
      </c>
      <c r="K6" s="17"/>
      <c r="L6" s="17" t="s">
        <v>36</v>
      </c>
      <c r="M6" s="17" t="s">
        <v>36</v>
      </c>
      <c r="N6" s="17" t="s">
        <v>36</v>
      </c>
      <c r="O6" s="23"/>
      <c r="P6" s="16"/>
      <c r="Q6" s="24"/>
      <c r="R6" s="24"/>
      <c r="S6" s="16"/>
      <c r="T6" s="24"/>
    </row>
    <row r="7" spans="1:20" ht="96" customHeight="1">
      <c r="A7" s="25" t="s">
        <v>38</v>
      </c>
      <c r="B7" s="26" t="s">
        <v>39</v>
      </c>
      <c r="C7" s="26" t="s">
        <v>40</v>
      </c>
      <c r="D7" s="26" t="s">
        <v>41</v>
      </c>
      <c r="E7" s="26" t="s">
        <v>42</v>
      </c>
      <c r="F7" s="26" t="s">
        <v>43</v>
      </c>
      <c r="G7" s="26" t="s">
        <v>44</v>
      </c>
      <c r="H7" s="26" t="s">
        <v>45</v>
      </c>
      <c r="I7" s="26" t="s">
        <v>46</v>
      </c>
      <c r="J7" s="26" t="s">
        <v>47</v>
      </c>
      <c r="K7" s="26"/>
      <c r="L7" s="26" t="s">
        <v>48</v>
      </c>
      <c r="M7" s="27" t="s">
        <v>49</v>
      </c>
      <c r="N7" s="28" t="s">
        <v>50</v>
      </c>
      <c r="O7" s="26" t="s">
        <v>51</v>
      </c>
      <c r="P7" s="26" t="s">
        <v>52</v>
      </c>
      <c r="Q7" s="29" t="s">
        <v>53</v>
      </c>
      <c r="R7" s="29" t="s">
        <v>53</v>
      </c>
      <c r="S7" s="26" t="s">
        <v>54</v>
      </c>
      <c r="T7" s="29" t="s">
        <v>53</v>
      </c>
    </row>
    <row r="8" spans="1:20" ht="15">
      <c r="A8" s="30" t="str">
        <f>LEFT(M8,4)</f>
        <v>6212</v>
      </c>
      <c r="B8" s="31" t="str">
        <f>CONCATENATE(F8," ", C8," ",D8," ", E8, " цвет ", G8, " р. ", J8)</f>
        <v>БЮСТГАЛЬТЕР VS Артикул 105505 цвет БЕЛЫЙ р. 34C</v>
      </c>
      <c r="C8" t="s">
        <v>1628</v>
      </c>
      <c r="D8" t="s">
        <v>55</v>
      </c>
      <c r="E8" t="s">
        <v>1629</v>
      </c>
      <c r="F8" t="s">
        <v>56</v>
      </c>
      <c r="G8" t="s">
        <v>98</v>
      </c>
      <c r="H8" t="s">
        <v>58</v>
      </c>
      <c r="I8" t="s">
        <v>1630</v>
      </c>
      <c r="J8" t="s">
        <v>1631</v>
      </c>
      <c r="K8" s="32"/>
      <c r="L8" t="s">
        <v>1980</v>
      </c>
      <c r="M8" t="s">
        <v>61</v>
      </c>
      <c r="N8" s="32" t="s">
        <v>62</v>
      </c>
      <c r="O8" t="s">
        <v>81</v>
      </c>
      <c r="P8">
        <v>1</v>
      </c>
      <c r="Q8" s="30"/>
      <c r="R8" s="30"/>
      <c r="S8" s="7" t="s">
        <v>64</v>
      </c>
    </row>
    <row r="9" spans="1:20" ht="15">
      <c r="A9" s="30" t="str">
        <f t="shared" ref="A9:A72" si="0">LEFT(M9,4)</f>
        <v>6212</v>
      </c>
      <c r="B9" s="31" t="str">
        <f t="shared" ref="B9:B72" si="1">CONCATENATE(F9," ", C9," ",D9," ", E9, " цвет ", G9, " р. ", J9)</f>
        <v>БЮСТГАЛЬТЕР VS Артикул 111286 цвет ЧЕРНЫЙ р. 32D</v>
      </c>
      <c r="C9" t="s">
        <v>1628</v>
      </c>
      <c r="D9" t="s">
        <v>55</v>
      </c>
      <c r="E9" t="s">
        <v>1632</v>
      </c>
      <c r="F9" t="s">
        <v>56</v>
      </c>
      <c r="G9" t="s">
        <v>330</v>
      </c>
      <c r="H9" t="s">
        <v>58</v>
      </c>
      <c r="I9" t="s">
        <v>1630</v>
      </c>
      <c r="J9" t="s">
        <v>1633</v>
      </c>
      <c r="K9" s="32"/>
      <c r="L9" t="s">
        <v>1981</v>
      </c>
      <c r="M9" t="s">
        <v>61</v>
      </c>
      <c r="N9" s="32" t="s">
        <v>62</v>
      </c>
      <c r="O9" t="s">
        <v>81</v>
      </c>
      <c r="P9">
        <v>1</v>
      </c>
      <c r="Q9" s="30"/>
      <c r="R9" s="30"/>
    </row>
    <row r="10" spans="1:20" ht="15">
      <c r="A10" s="30" t="str">
        <f t="shared" si="0"/>
        <v>6212</v>
      </c>
      <c r="B10" s="31" t="str">
        <f t="shared" si="1"/>
        <v>БЮСТГАЛЬТЕР VS Артикул 111477 цвет Тиффани р. 34C</v>
      </c>
      <c r="C10" t="s">
        <v>1628</v>
      </c>
      <c r="D10" t="s">
        <v>55</v>
      </c>
      <c r="E10" t="s">
        <v>1634</v>
      </c>
      <c r="F10" t="s">
        <v>56</v>
      </c>
      <c r="G10" t="s">
        <v>1431</v>
      </c>
      <c r="H10" t="s">
        <v>58</v>
      </c>
      <c r="I10" t="s">
        <v>1630</v>
      </c>
      <c r="J10" t="s">
        <v>1631</v>
      </c>
      <c r="K10" s="32"/>
      <c r="L10" t="s">
        <v>1982</v>
      </c>
      <c r="M10" t="s">
        <v>61</v>
      </c>
      <c r="N10" s="32" t="s">
        <v>62</v>
      </c>
      <c r="O10" t="s">
        <v>724</v>
      </c>
      <c r="P10">
        <v>1</v>
      </c>
      <c r="Q10" s="30"/>
      <c r="R10" s="30"/>
    </row>
    <row r="11" spans="1:20" ht="15">
      <c r="A11" s="30" t="str">
        <f t="shared" si="0"/>
        <v>6212</v>
      </c>
      <c r="B11" s="31" t="str">
        <f t="shared" si="1"/>
        <v>БЮСТГАЛЬТЕР VS Артикул 111573 цвет РОЗОВЫЙ р. L</v>
      </c>
      <c r="C11" t="s">
        <v>1628</v>
      </c>
      <c r="D11" t="s">
        <v>55</v>
      </c>
      <c r="E11" t="s">
        <v>1635</v>
      </c>
      <c r="F11" t="s">
        <v>56</v>
      </c>
      <c r="G11" t="s">
        <v>235</v>
      </c>
      <c r="H11" t="s">
        <v>58</v>
      </c>
      <c r="I11" t="s">
        <v>1630</v>
      </c>
      <c r="J11" t="s">
        <v>1636</v>
      </c>
      <c r="K11" s="32"/>
      <c r="L11" t="s">
        <v>1983</v>
      </c>
      <c r="M11" t="s">
        <v>61</v>
      </c>
      <c r="N11" s="32" t="s">
        <v>62</v>
      </c>
      <c r="O11" t="s">
        <v>81</v>
      </c>
      <c r="P11">
        <v>1</v>
      </c>
      <c r="Q11" s="30"/>
      <c r="R11" s="30"/>
    </row>
    <row r="12" spans="1:20" ht="15">
      <c r="A12" s="30" t="str">
        <f t="shared" si="0"/>
        <v>6212</v>
      </c>
      <c r="B12" s="31" t="str">
        <f t="shared" si="1"/>
        <v>БЮСТГАЛЬТЕР VS Артикул 111775 цвет Коричневый р. 36D</v>
      </c>
      <c r="C12" t="s">
        <v>1628</v>
      </c>
      <c r="D12" t="s">
        <v>55</v>
      </c>
      <c r="E12" t="s">
        <v>1637</v>
      </c>
      <c r="F12" t="s">
        <v>56</v>
      </c>
      <c r="G12" t="s">
        <v>872</v>
      </c>
      <c r="H12" t="s">
        <v>58</v>
      </c>
      <c r="I12" t="s">
        <v>1630</v>
      </c>
      <c r="J12" t="s">
        <v>1638</v>
      </c>
      <c r="K12" s="32"/>
      <c r="L12" t="s">
        <v>1984</v>
      </c>
      <c r="M12" t="s">
        <v>61</v>
      </c>
      <c r="N12" s="32" t="s">
        <v>62</v>
      </c>
      <c r="O12" t="s">
        <v>349</v>
      </c>
      <c r="P12">
        <v>1</v>
      </c>
      <c r="Q12" s="30"/>
      <c r="R12" s="30"/>
    </row>
    <row r="13" spans="1:20" ht="15">
      <c r="A13" s="30" t="str">
        <f t="shared" si="0"/>
        <v>6212</v>
      </c>
      <c r="B13" s="31" t="str">
        <f t="shared" si="1"/>
        <v>БЮСТГАЛЬТЕР VS Артикул 111978 цвет ЧЕРНЫЙ р. 30C</v>
      </c>
      <c r="C13" t="s">
        <v>1628</v>
      </c>
      <c r="D13" t="s">
        <v>55</v>
      </c>
      <c r="E13" t="s">
        <v>1639</v>
      </c>
      <c r="F13" t="s">
        <v>56</v>
      </c>
      <c r="G13" t="s">
        <v>330</v>
      </c>
      <c r="H13" t="s">
        <v>58</v>
      </c>
      <c r="I13" t="s">
        <v>1630</v>
      </c>
      <c r="J13" t="s">
        <v>1640</v>
      </c>
      <c r="K13" s="32"/>
      <c r="L13" t="s">
        <v>1985</v>
      </c>
      <c r="M13" t="s">
        <v>61</v>
      </c>
      <c r="N13" s="32" t="s">
        <v>62</v>
      </c>
      <c r="O13" t="s">
        <v>63</v>
      </c>
      <c r="P13">
        <v>1</v>
      </c>
      <c r="Q13" s="30"/>
      <c r="R13" s="30"/>
    </row>
    <row r="14" spans="1:20" ht="15">
      <c r="A14" s="30" t="str">
        <f t="shared" si="0"/>
        <v>6212</v>
      </c>
      <c r="B14" s="31" t="str">
        <f t="shared" si="1"/>
        <v>БЮСТГАЛЬТЕР VS Артикул 112008 цвет ЧЕРНЫЙ р. 32DD</v>
      </c>
      <c r="C14" t="s">
        <v>1628</v>
      </c>
      <c r="D14" t="s">
        <v>55</v>
      </c>
      <c r="E14" t="s">
        <v>1641</v>
      </c>
      <c r="F14" t="s">
        <v>56</v>
      </c>
      <c r="G14" t="s">
        <v>330</v>
      </c>
      <c r="H14" t="s">
        <v>58</v>
      </c>
      <c r="I14" t="s">
        <v>1630</v>
      </c>
      <c r="J14" t="s">
        <v>1642</v>
      </c>
      <c r="K14" s="32"/>
      <c r="L14" t="s">
        <v>1986</v>
      </c>
      <c r="M14" t="s">
        <v>61</v>
      </c>
      <c r="N14" s="32" t="s">
        <v>62</v>
      </c>
      <c r="O14" t="s">
        <v>63</v>
      </c>
      <c r="P14">
        <v>1</v>
      </c>
      <c r="Q14" s="30"/>
      <c r="R14" s="30"/>
    </row>
    <row r="15" spans="1:20" ht="15">
      <c r="A15" s="30" t="str">
        <f t="shared" si="0"/>
        <v>6212</v>
      </c>
      <c r="B15" s="31" t="str">
        <f t="shared" si="1"/>
        <v>БЮСТГАЛЬТЕР VS Артикул 112241 цвет ЧЕРНЫЙ р. 38B</v>
      </c>
      <c r="C15" t="s">
        <v>1628</v>
      </c>
      <c r="D15" t="s">
        <v>55</v>
      </c>
      <c r="E15" t="s">
        <v>1643</v>
      </c>
      <c r="F15" t="s">
        <v>56</v>
      </c>
      <c r="G15" t="s">
        <v>330</v>
      </c>
      <c r="H15" t="s">
        <v>58</v>
      </c>
      <c r="I15" t="s">
        <v>1630</v>
      </c>
      <c r="J15" t="s">
        <v>1644</v>
      </c>
      <c r="K15" s="32"/>
      <c r="L15" t="s">
        <v>1987</v>
      </c>
      <c r="M15" t="s">
        <v>61</v>
      </c>
      <c r="N15" s="32" t="s">
        <v>62</v>
      </c>
      <c r="O15" t="s">
        <v>724</v>
      </c>
      <c r="P15">
        <v>1</v>
      </c>
      <c r="Q15" s="30"/>
      <c r="R15" s="30"/>
    </row>
    <row r="16" spans="1:20" ht="15">
      <c r="A16" s="30" t="str">
        <f t="shared" si="0"/>
        <v>6212</v>
      </c>
      <c r="B16" s="31" t="str">
        <f t="shared" si="1"/>
        <v>БЮСТГАЛЬТЕР VS Артикул 112396 цвет Коричневый р. 32C</v>
      </c>
      <c r="C16" t="s">
        <v>1628</v>
      </c>
      <c r="D16" t="s">
        <v>55</v>
      </c>
      <c r="E16" t="s">
        <v>1645</v>
      </c>
      <c r="F16" t="s">
        <v>56</v>
      </c>
      <c r="G16" t="s">
        <v>872</v>
      </c>
      <c r="H16" t="s">
        <v>58</v>
      </c>
      <c r="I16" t="s">
        <v>1630</v>
      </c>
      <c r="J16" t="s">
        <v>1646</v>
      </c>
      <c r="K16" s="32"/>
      <c r="L16" t="s">
        <v>1988</v>
      </c>
      <c r="M16" t="s">
        <v>61</v>
      </c>
      <c r="N16" s="32" t="s">
        <v>62</v>
      </c>
      <c r="O16" t="s">
        <v>724</v>
      </c>
      <c r="P16">
        <v>1</v>
      </c>
      <c r="Q16" s="30"/>
      <c r="R16" s="30"/>
    </row>
    <row r="17" spans="1:18" ht="15">
      <c r="A17" s="30" t="str">
        <f t="shared" si="0"/>
        <v>6212</v>
      </c>
      <c r="B17" s="31" t="str">
        <f t="shared" si="1"/>
        <v>БЮСТГАЛЬТЕР VS Артикул 111711 цвет Зеленый р. 38D</v>
      </c>
      <c r="C17" t="s">
        <v>1628</v>
      </c>
      <c r="D17" t="s">
        <v>55</v>
      </c>
      <c r="E17" t="s">
        <v>1647</v>
      </c>
      <c r="F17" t="s">
        <v>56</v>
      </c>
      <c r="G17" t="s">
        <v>806</v>
      </c>
      <c r="H17" t="s">
        <v>58</v>
      </c>
      <c r="I17" t="s">
        <v>1630</v>
      </c>
      <c r="J17" t="s">
        <v>1648</v>
      </c>
      <c r="K17" s="32"/>
      <c r="L17" t="s">
        <v>1989</v>
      </c>
      <c r="M17" t="s">
        <v>61</v>
      </c>
      <c r="N17" s="32" t="s">
        <v>62</v>
      </c>
      <c r="O17" t="s">
        <v>81</v>
      </c>
      <c r="P17">
        <v>1</v>
      </c>
      <c r="Q17" s="30"/>
      <c r="R17" s="30"/>
    </row>
    <row r="18" spans="1:18" ht="15">
      <c r="A18" s="30" t="str">
        <f t="shared" si="0"/>
        <v>6212</v>
      </c>
      <c r="B18" s="31" t="str">
        <f t="shared" si="1"/>
        <v>БЮСТГАЛЬТЕР VS Артикул 112358 цвет ГОЛУБОЙ р. 34D</v>
      </c>
      <c r="C18" t="s">
        <v>1628</v>
      </c>
      <c r="D18" t="s">
        <v>55</v>
      </c>
      <c r="E18" t="s">
        <v>1649</v>
      </c>
      <c r="F18" t="s">
        <v>56</v>
      </c>
      <c r="G18" t="s">
        <v>141</v>
      </c>
      <c r="H18" t="s">
        <v>58</v>
      </c>
      <c r="I18" t="s">
        <v>1630</v>
      </c>
      <c r="J18" t="s">
        <v>1650</v>
      </c>
      <c r="K18" s="32"/>
      <c r="L18" t="s">
        <v>1990</v>
      </c>
      <c r="M18" t="s">
        <v>61</v>
      </c>
      <c r="N18" s="32" t="s">
        <v>62</v>
      </c>
      <c r="O18" t="s">
        <v>724</v>
      </c>
      <c r="P18">
        <v>1</v>
      </c>
      <c r="Q18" s="30"/>
      <c r="R18" s="30"/>
    </row>
    <row r="19" spans="1:18" ht="15">
      <c r="A19" s="30" t="str">
        <f t="shared" si="0"/>
        <v>6212</v>
      </c>
      <c r="B19" s="31" t="str">
        <f t="shared" si="1"/>
        <v>БЮСТГАЛЬТЕР VS Артикул 109079 цвет СЕРЫЙ р. 40D</v>
      </c>
      <c r="C19" t="s">
        <v>1628</v>
      </c>
      <c r="D19" t="s">
        <v>55</v>
      </c>
      <c r="E19" t="s">
        <v>1651</v>
      </c>
      <c r="F19" t="s">
        <v>56</v>
      </c>
      <c r="G19" t="s">
        <v>273</v>
      </c>
      <c r="H19" t="s">
        <v>58</v>
      </c>
      <c r="I19" t="s">
        <v>1630</v>
      </c>
      <c r="J19" t="s">
        <v>1652</v>
      </c>
      <c r="K19" s="32"/>
      <c r="L19" t="s">
        <v>1991</v>
      </c>
      <c r="M19" t="s">
        <v>61</v>
      </c>
      <c r="N19" s="32" t="s">
        <v>62</v>
      </c>
      <c r="O19" t="s">
        <v>724</v>
      </c>
      <c r="P19">
        <v>1</v>
      </c>
      <c r="Q19" s="30"/>
      <c r="R19" s="30"/>
    </row>
    <row r="20" spans="1:18" ht="15">
      <c r="A20" s="30" t="str">
        <f t="shared" si="0"/>
        <v>6212</v>
      </c>
      <c r="B20" s="31" t="str">
        <f t="shared" si="1"/>
        <v>БЮСТГАЛЬТЕР VS Артикул 109078 цвет ЧЕРНЫЙ р. 34C</v>
      </c>
      <c r="C20" t="s">
        <v>1628</v>
      </c>
      <c r="D20" t="s">
        <v>55</v>
      </c>
      <c r="E20" t="s">
        <v>1653</v>
      </c>
      <c r="F20" t="s">
        <v>56</v>
      </c>
      <c r="G20" t="s">
        <v>330</v>
      </c>
      <c r="H20" t="s">
        <v>58</v>
      </c>
      <c r="I20" t="s">
        <v>1630</v>
      </c>
      <c r="J20" t="s">
        <v>1631</v>
      </c>
      <c r="K20" s="32"/>
      <c r="L20" t="s">
        <v>1992</v>
      </c>
      <c r="M20" t="s">
        <v>61</v>
      </c>
      <c r="N20" s="32" t="s">
        <v>62</v>
      </c>
      <c r="O20" t="s">
        <v>81</v>
      </c>
      <c r="P20">
        <v>1</v>
      </c>
      <c r="Q20" s="30"/>
      <c r="R20" s="30"/>
    </row>
    <row r="21" spans="1:18" ht="15">
      <c r="A21" s="30" t="str">
        <f t="shared" si="0"/>
        <v>6212</v>
      </c>
      <c r="B21" s="31" t="str">
        <f t="shared" si="1"/>
        <v>БЮСТГАЛЬТЕР VS Артикул 111476 цвет ЧЕРНЫЙ р. 32C</v>
      </c>
      <c r="C21" t="s">
        <v>1628</v>
      </c>
      <c r="D21" t="s">
        <v>55</v>
      </c>
      <c r="E21" t="s">
        <v>1654</v>
      </c>
      <c r="F21" t="s">
        <v>56</v>
      </c>
      <c r="G21" t="s">
        <v>330</v>
      </c>
      <c r="H21" t="s">
        <v>58</v>
      </c>
      <c r="I21" t="s">
        <v>1630</v>
      </c>
      <c r="J21" t="s">
        <v>1646</v>
      </c>
      <c r="K21" s="32"/>
      <c r="L21" t="s">
        <v>1685</v>
      </c>
      <c r="M21" t="s">
        <v>61</v>
      </c>
      <c r="N21" s="32" t="s">
        <v>62</v>
      </c>
      <c r="O21" t="s">
        <v>724</v>
      </c>
      <c r="P21">
        <v>1</v>
      </c>
      <c r="Q21" s="30"/>
      <c r="R21" s="30"/>
    </row>
    <row r="22" spans="1:18" ht="15">
      <c r="A22" s="30" t="str">
        <f t="shared" si="0"/>
        <v>6212</v>
      </c>
      <c r="B22" s="31" t="str">
        <f t="shared" si="1"/>
        <v>БЮСТГАЛЬТЕР VS Артикул 110931 цвет Сиреневый р. 32B</v>
      </c>
      <c r="C22" t="s">
        <v>1628</v>
      </c>
      <c r="D22" t="s">
        <v>55</v>
      </c>
      <c r="E22" t="s">
        <v>1655</v>
      </c>
      <c r="F22" t="s">
        <v>56</v>
      </c>
      <c r="G22" t="s">
        <v>1321</v>
      </c>
      <c r="H22" t="s">
        <v>58</v>
      </c>
      <c r="I22" t="s">
        <v>1630</v>
      </c>
      <c r="J22" t="s">
        <v>1656</v>
      </c>
      <c r="K22" s="32"/>
      <c r="L22" t="s">
        <v>1993</v>
      </c>
      <c r="M22" t="s">
        <v>61</v>
      </c>
      <c r="N22" s="32" t="s">
        <v>62</v>
      </c>
      <c r="O22" t="s">
        <v>81</v>
      </c>
      <c r="P22">
        <v>1</v>
      </c>
      <c r="Q22" s="30"/>
      <c r="R22" s="30"/>
    </row>
    <row r="23" spans="1:18" ht="15">
      <c r="A23" s="30" t="str">
        <f t="shared" si="0"/>
        <v>6212</v>
      </c>
      <c r="B23" s="31" t="str">
        <f t="shared" si="1"/>
        <v>БЮСТГАЛЬТЕР VS Артикул 110588 цвет Зеленый р. 36DD</v>
      </c>
      <c r="C23" t="s">
        <v>1628</v>
      </c>
      <c r="D23" t="s">
        <v>55</v>
      </c>
      <c r="E23" t="s">
        <v>1657</v>
      </c>
      <c r="F23" t="s">
        <v>56</v>
      </c>
      <c r="G23" t="s">
        <v>806</v>
      </c>
      <c r="H23" t="s">
        <v>58</v>
      </c>
      <c r="I23" t="s">
        <v>1630</v>
      </c>
      <c r="J23" t="s">
        <v>1658</v>
      </c>
      <c r="K23" s="32"/>
      <c r="L23" t="s">
        <v>1994</v>
      </c>
      <c r="M23" t="s">
        <v>61</v>
      </c>
      <c r="N23" s="32" t="s">
        <v>62</v>
      </c>
      <c r="O23" t="s">
        <v>81</v>
      </c>
      <c r="P23">
        <v>1</v>
      </c>
      <c r="Q23" s="30"/>
      <c r="R23" s="30"/>
    </row>
    <row r="24" spans="1:18" ht="15">
      <c r="A24" s="30" t="str">
        <f t="shared" si="0"/>
        <v>6212</v>
      </c>
      <c r="B24" s="31" t="str">
        <f t="shared" si="1"/>
        <v>БЮСТГАЛЬТЕР VS Артикул 110144 цвет БОРДОВЫЙ р. 40C</v>
      </c>
      <c r="C24" t="s">
        <v>1628</v>
      </c>
      <c r="D24" t="s">
        <v>55</v>
      </c>
      <c r="E24" t="s">
        <v>1659</v>
      </c>
      <c r="F24" t="s">
        <v>56</v>
      </c>
      <c r="G24" t="s">
        <v>117</v>
      </c>
      <c r="H24" t="s">
        <v>58</v>
      </c>
      <c r="I24" t="s">
        <v>1630</v>
      </c>
      <c r="J24" t="s">
        <v>1660</v>
      </c>
      <c r="K24" s="32"/>
      <c r="L24" t="s">
        <v>1995</v>
      </c>
      <c r="M24" t="s">
        <v>61</v>
      </c>
      <c r="N24" s="32" t="s">
        <v>62</v>
      </c>
      <c r="O24" t="s">
        <v>724</v>
      </c>
      <c r="P24">
        <v>1</v>
      </c>
      <c r="Q24" s="30"/>
      <c r="R24" s="30"/>
    </row>
    <row r="25" spans="1:18" ht="15">
      <c r="A25" s="30" t="str">
        <f t="shared" si="0"/>
        <v>6212</v>
      </c>
      <c r="B25" s="31" t="str">
        <f t="shared" si="1"/>
        <v>БЮСТГАЛЬТЕР VS Артикул 109924 цвет Изумрудный р. 32D</v>
      </c>
      <c r="C25" t="s">
        <v>1628</v>
      </c>
      <c r="D25" t="s">
        <v>55</v>
      </c>
      <c r="E25" t="s">
        <v>1661</v>
      </c>
      <c r="F25" t="s">
        <v>56</v>
      </c>
      <c r="G25" t="s">
        <v>824</v>
      </c>
      <c r="H25" t="s">
        <v>58</v>
      </c>
      <c r="I25" t="s">
        <v>1630</v>
      </c>
      <c r="J25" t="s">
        <v>1633</v>
      </c>
      <c r="K25" s="32"/>
      <c r="L25" t="s">
        <v>1686</v>
      </c>
      <c r="M25" t="s">
        <v>61</v>
      </c>
      <c r="N25" s="32" t="s">
        <v>62</v>
      </c>
      <c r="O25" t="s">
        <v>724</v>
      </c>
      <c r="P25">
        <v>1</v>
      </c>
      <c r="Q25" s="30"/>
      <c r="R25" s="30"/>
    </row>
    <row r="26" spans="1:18" ht="15">
      <c r="A26" s="30" t="str">
        <f t="shared" si="0"/>
        <v>6212</v>
      </c>
      <c r="B26" s="31" t="str">
        <f t="shared" si="1"/>
        <v>БЮСТГАЛЬТЕР VS Артикул 110524 цвет Оливковый р. 36B</v>
      </c>
      <c r="C26" t="s">
        <v>1628</v>
      </c>
      <c r="D26" t="s">
        <v>55</v>
      </c>
      <c r="E26" t="s">
        <v>1662</v>
      </c>
      <c r="F26" t="s">
        <v>56</v>
      </c>
      <c r="G26" t="s">
        <v>1027</v>
      </c>
      <c r="H26" t="s">
        <v>58</v>
      </c>
      <c r="I26" t="s">
        <v>1630</v>
      </c>
      <c r="J26" t="s">
        <v>1663</v>
      </c>
      <c r="K26" s="32"/>
      <c r="L26" t="s">
        <v>1996</v>
      </c>
      <c r="M26" t="s">
        <v>61</v>
      </c>
      <c r="N26" s="32" t="s">
        <v>62</v>
      </c>
      <c r="O26" t="s">
        <v>724</v>
      </c>
      <c r="P26">
        <v>1</v>
      </c>
      <c r="Q26" s="30"/>
      <c r="R26" s="30"/>
    </row>
    <row r="27" spans="1:18" ht="15">
      <c r="A27" s="30" t="str">
        <f t="shared" si="0"/>
        <v>6212</v>
      </c>
      <c r="B27" s="31" t="str">
        <f t="shared" si="1"/>
        <v>БЮСТГАЛЬТЕР VS Артикул 110861 цвет СЕРЫЙ р. 34C</v>
      </c>
      <c r="C27" t="s">
        <v>1628</v>
      </c>
      <c r="D27" t="s">
        <v>55</v>
      </c>
      <c r="E27" t="s">
        <v>1664</v>
      </c>
      <c r="F27" t="s">
        <v>56</v>
      </c>
      <c r="G27" t="s">
        <v>273</v>
      </c>
      <c r="H27" t="s">
        <v>58</v>
      </c>
      <c r="I27" t="s">
        <v>1630</v>
      </c>
      <c r="J27" t="s">
        <v>1631</v>
      </c>
      <c r="K27" s="32"/>
      <c r="L27" t="s">
        <v>1997</v>
      </c>
      <c r="M27" t="s">
        <v>61</v>
      </c>
      <c r="N27" s="32" t="s">
        <v>62</v>
      </c>
      <c r="O27" t="s">
        <v>384</v>
      </c>
      <c r="P27">
        <v>1</v>
      </c>
      <c r="Q27" s="30"/>
      <c r="R27" s="30"/>
    </row>
    <row r="28" spans="1:18" ht="15">
      <c r="A28" s="30" t="str">
        <f t="shared" si="0"/>
        <v>6212</v>
      </c>
      <c r="B28" s="31" t="str">
        <f t="shared" si="1"/>
        <v>БЮСТГАЛЬТЕР VS Артикул 112293 цвет Розовый р. 38DDD</v>
      </c>
      <c r="C28" t="s">
        <v>1628</v>
      </c>
      <c r="D28" t="s">
        <v>55</v>
      </c>
      <c r="E28" t="s">
        <v>1665</v>
      </c>
      <c r="F28" t="s">
        <v>56</v>
      </c>
      <c r="G28" t="s">
        <v>1161</v>
      </c>
      <c r="H28" t="s">
        <v>58</v>
      </c>
      <c r="I28" t="s">
        <v>1630</v>
      </c>
      <c r="J28" t="s">
        <v>1666</v>
      </c>
      <c r="K28" s="32"/>
      <c r="L28" t="s">
        <v>1998</v>
      </c>
      <c r="M28" t="s">
        <v>61</v>
      </c>
      <c r="N28" s="32" t="s">
        <v>62</v>
      </c>
      <c r="O28" t="s">
        <v>724</v>
      </c>
      <c r="P28">
        <v>1</v>
      </c>
      <c r="Q28" s="30"/>
      <c r="R28" s="30"/>
    </row>
    <row r="29" spans="1:18" ht="15">
      <c r="A29" s="30" t="str">
        <f t="shared" si="0"/>
        <v>6212</v>
      </c>
      <c r="B29" s="31" t="str">
        <f t="shared" si="1"/>
        <v>БЮСТГАЛЬТЕР VS Артикул 109284 цвет Синий р. 34D</v>
      </c>
      <c r="C29" t="s">
        <v>1628</v>
      </c>
      <c r="D29" t="s">
        <v>55</v>
      </c>
      <c r="E29" t="s">
        <v>1667</v>
      </c>
      <c r="F29" t="s">
        <v>56</v>
      </c>
      <c r="G29" t="s">
        <v>1308</v>
      </c>
      <c r="H29" t="s">
        <v>58</v>
      </c>
      <c r="I29" t="s">
        <v>1630</v>
      </c>
      <c r="J29" t="s">
        <v>1650</v>
      </c>
      <c r="K29" s="32"/>
      <c r="L29" t="s">
        <v>1999</v>
      </c>
      <c r="M29" t="s">
        <v>61</v>
      </c>
      <c r="N29" s="32" t="s">
        <v>62</v>
      </c>
      <c r="O29" t="s">
        <v>349</v>
      </c>
      <c r="P29">
        <v>1</v>
      </c>
      <c r="Q29" s="30"/>
      <c r="R29" s="30"/>
    </row>
    <row r="30" spans="1:18" ht="15">
      <c r="A30" s="30" t="str">
        <f t="shared" si="0"/>
        <v>6212</v>
      </c>
      <c r="B30" s="31" t="str">
        <f t="shared" si="1"/>
        <v>БЮСТГАЛЬТЕР VS Артикул 112660 цвет КОРИЧНЕВЫЙ р. 38DDD</v>
      </c>
      <c r="C30" t="s">
        <v>1628</v>
      </c>
      <c r="D30" t="s">
        <v>55</v>
      </c>
      <c r="E30" t="s">
        <v>1668</v>
      </c>
      <c r="F30" t="s">
        <v>56</v>
      </c>
      <c r="G30" t="s">
        <v>176</v>
      </c>
      <c r="H30" t="s">
        <v>58</v>
      </c>
      <c r="I30" t="s">
        <v>1630</v>
      </c>
      <c r="J30" t="s">
        <v>1666</v>
      </c>
      <c r="K30" s="32"/>
      <c r="L30" t="s">
        <v>2000</v>
      </c>
      <c r="M30" t="s">
        <v>61</v>
      </c>
      <c r="N30" s="32" t="s">
        <v>62</v>
      </c>
      <c r="O30" t="s">
        <v>724</v>
      </c>
      <c r="P30">
        <v>1</v>
      </c>
      <c r="Q30" s="30"/>
      <c r="R30" s="30"/>
    </row>
    <row r="31" spans="1:18" ht="15">
      <c r="A31" s="30" t="str">
        <f t="shared" si="0"/>
        <v>6212</v>
      </c>
      <c r="B31" s="31" t="str">
        <f t="shared" si="1"/>
        <v>КОРСЕТ VS Артикул 112661 цвет РОЗОВЫЙ р. S</v>
      </c>
      <c r="C31" t="s">
        <v>1628</v>
      </c>
      <c r="D31" t="s">
        <v>55</v>
      </c>
      <c r="E31" t="s">
        <v>1669</v>
      </c>
      <c r="F31" t="s">
        <v>1670</v>
      </c>
      <c r="G31" t="s">
        <v>235</v>
      </c>
      <c r="H31" t="s">
        <v>58</v>
      </c>
      <c r="I31" t="s">
        <v>1630</v>
      </c>
      <c r="J31" t="s">
        <v>1671</v>
      </c>
      <c r="K31" s="32"/>
      <c r="L31" t="s">
        <v>2001</v>
      </c>
      <c r="M31" t="s">
        <v>99</v>
      </c>
      <c r="N31" s="32" t="s">
        <v>62</v>
      </c>
      <c r="O31" t="s">
        <v>63</v>
      </c>
      <c r="P31">
        <v>1</v>
      </c>
      <c r="Q31" s="30"/>
      <c r="R31" s="30"/>
    </row>
    <row r="32" spans="1:18" ht="15">
      <c r="A32" s="30" t="str">
        <f t="shared" si="0"/>
        <v>6212</v>
      </c>
      <c r="B32" s="31" t="str">
        <f t="shared" si="1"/>
        <v>БЮСТГАЛЬТЕР VS Артикул 112683 цвет Розовый р. 34C</v>
      </c>
      <c r="C32" t="s">
        <v>1628</v>
      </c>
      <c r="D32" t="s">
        <v>55</v>
      </c>
      <c r="E32" t="s">
        <v>1672</v>
      </c>
      <c r="F32" t="s">
        <v>56</v>
      </c>
      <c r="G32" t="s">
        <v>1161</v>
      </c>
      <c r="H32" t="s">
        <v>58</v>
      </c>
      <c r="I32" t="s">
        <v>1630</v>
      </c>
      <c r="J32" t="s">
        <v>1631</v>
      </c>
      <c r="K32" s="32"/>
      <c r="L32" t="s">
        <v>2002</v>
      </c>
      <c r="M32" t="s">
        <v>61</v>
      </c>
      <c r="N32" s="32" t="s">
        <v>62</v>
      </c>
      <c r="O32" t="s">
        <v>349</v>
      </c>
      <c r="P32">
        <v>1</v>
      </c>
      <c r="Q32" s="30"/>
      <c r="R32" s="30"/>
    </row>
    <row r="33" spans="1:18" ht="15">
      <c r="A33" s="30" t="str">
        <f t="shared" si="0"/>
        <v>6212</v>
      </c>
      <c r="B33" s="31" t="str">
        <f t="shared" si="1"/>
        <v>БЮСТГАЛЬТЕР VS Артикул 112662 цвет ЗЕЛЕНЫЙ р. 38DD</v>
      </c>
      <c r="C33" t="s">
        <v>1628</v>
      </c>
      <c r="D33" t="s">
        <v>55</v>
      </c>
      <c r="E33" t="s">
        <v>1673</v>
      </c>
      <c r="F33" t="s">
        <v>56</v>
      </c>
      <c r="G33" t="s">
        <v>345</v>
      </c>
      <c r="H33" t="s">
        <v>58</v>
      </c>
      <c r="I33" t="s">
        <v>1630</v>
      </c>
      <c r="J33" t="s">
        <v>1674</v>
      </c>
      <c r="K33" s="32"/>
      <c r="L33" t="s">
        <v>1982</v>
      </c>
      <c r="M33" t="s">
        <v>61</v>
      </c>
      <c r="N33" s="32" t="s">
        <v>62</v>
      </c>
      <c r="O33" t="s">
        <v>724</v>
      </c>
      <c r="P33">
        <v>1</v>
      </c>
      <c r="Q33" s="30"/>
      <c r="R33" s="30"/>
    </row>
    <row r="34" spans="1:18" ht="15">
      <c r="A34" s="30" t="str">
        <f t="shared" si="0"/>
        <v>6212</v>
      </c>
      <c r="B34" s="31" t="str">
        <f t="shared" si="1"/>
        <v>БЮСТГАЛЬТЕР VS Артикул 112684 цвет Розовый р. 38D</v>
      </c>
      <c r="C34" t="s">
        <v>1628</v>
      </c>
      <c r="D34" t="s">
        <v>55</v>
      </c>
      <c r="E34" t="s">
        <v>1675</v>
      </c>
      <c r="F34" t="s">
        <v>56</v>
      </c>
      <c r="G34" t="s">
        <v>1161</v>
      </c>
      <c r="H34" t="s">
        <v>58</v>
      </c>
      <c r="I34" t="s">
        <v>1630</v>
      </c>
      <c r="J34" t="s">
        <v>1648</v>
      </c>
      <c r="K34" s="32"/>
      <c r="L34" t="s">
        <v>1982</v>
      </c>
      <c r="M34" t="s">
        <v>61</v>
      </c>
      <c r="N34" s="32" t="s">
        <v>62</v>
      </c>
      <c r="O34" t="s">
        <v>724</v>
      </c>
      <c r="P34">
        <v>1</v>
      </c>
      <c r="Q34" s="30"/>
      <c r="R34" s="30"/>
    </row>
    <row r="35" spans="1:18" ht="15">
      <c r="A35" s="30" t="str">
        <f t="shared" si="0"/>
        <v>6212</v>
      </c>
      <c r="B35" s="31" t="str">
        <f t="shared" si="1"/>
        <v>БЮСТГАЛЬТЕР VS Артикул 109344 цвет РОЗОВЫЙ р. 34C</v>
      </c>
      <c r="C35" t="s">
        <v>1628</v>
      </c>
      <c r="D35" t="s">
        <v>55</v>
      </c>
      <c r="E35" t="s">
        <v>1676</v>
      </c>
      <c r="F35" t="s">
        <v>56</v>
      </c>
      <c r="G35" t="s">
        <v>235</v>
      </c>
      <c r="H35" t="s">
        <v>58</v>
      </c>
      <c r="I35" t="s">
        <v>1630</v>
      </c>
      <c r="J35" t="s">
        <v>1631</v>
      </c>
      <c r="K35" s="32"/>
      <c r="L35" t="s">
        <v>2003</v>
      </c>
      <c r="M35" t="s">
        <v>61</v>
      </c>
      <c r="N35" s="32" t="s">
        <v>62</v>
      </c>
      <c r="O35" t="s">
        <v>349</v>
      </c>
      <c r="P35">
        <v>1</v>
      </c>
      <c r="Q35" s="30"/>
      <c r="R35" s="30"/>
    </row>
    <row r="36" spans="1:18" ht="15">
      <c r="A36" s="30" t="str">
        <f t="shared" si="0"/>
        <v>6212</v>
      </c>
      <c r="B36" s="31" t="str">
        <f t="shared" si="1"/>
        <v>БЮСТГАЛЬТЕР VS Артикул 109488 цвет РОЗОВЫЙ р. 36D</v>
      </c>
      <c r="C36" t="s">
        <v>1628</v>
      </c>
      <c r="D36" t="s">
        <v>55</v>
      </c>
      <c r="E36" t="s">
        <v>1677</v>
      </c>
      <c r="F36" t="s">
        <v>56</v>
      </c>
      <c r="G36" t="s">
        <v>235</v>
      </c>
      <c r="H36" t="s">
        <v>58</v>
      </c>
      <c r="I36" t="s">
        <v>1630</v>
      </c>
      <c r="J36" t="s">
        <v>1638</v>
      </c>
      <c r="K36" s="32"/>
      <c r="L36" t="s">
        <v>2004</v>
      </c>
      <c r="M36" t="s">
        <v>61</v>
      </c>
      <c r="N36" s="32" t="s">
        <v>62</v>
      </c>
      <c r="O36" t="s">
        <v>724</v>
      </c>
      <c r="P36">
        <v>1</v>
      </c>
      <c r="Q36" s="30"/>
      <c r="R36" s="30"/>
    </row>
    <row r="37" spans="1:18" ht="15">
      <c r="A37" s="30" t="str">
        <f t="shared" si="0"/>
        <v>6212</v>
      </c>
      <c r="B37" s="31" t="str">
        <f t="shared" si="1"/>
        <v>БЮСТГАЛЬТЕР VS Артикул 109685 цвет ЛЕОПАРД р. 32B</v>
      </c>
      <c r="C37" t="s">
        <v>1628</v>
      </c>
      <c r="D37" t="s">
        <v>55</v>
      </c>
      <c r="E37" t="s">
        <v>1678</v>
      </c>
      <c r="F37" t="s">
        <v>56</v>
      </c>
      <c r="G37" t="s">
        <v>190</v>
      </c>
      <c r="H37" t="s">
        <v>58</v>
      </c>
      <c r="I37" t="s">
        <v>1630</v>
      </c>
      <c r="J37" t="s">
        <v>1656</v>
      </c>
      <c r="K37" s="32"/>
      <c r="L37" t="s">
        <v>2005</v>
      </c>
      <c r="M37" t="s">
        <v>61</v>
      </c>
      <c r="N37" s="32" t="s">
        <v>62</v>
      </c>
      <c r="O37" t="s">
        <v>724</v>
      </c>
      <c r="P37">
        <v>1</v>
      </c>
      <c r="Q37" s="30"/>
      <c r="R37" s="30"/>
    </row>
    <row r="38" spans="1:18" ht="15">
      <c r="A38" s="30" t="str">
        <f t="shared" si="0"/>
        <v>6212</v>
      </c>
      <c r="B38" s="31" t="str">
        <f t="shared" si="1"/>
        <v>БЮСТГАЛЬТЕР VS Артикул 109761 цвет Синий р. 36D</v>
      </c>
      <c r="C38" t="s">
        <v>1628</v>
      </c>
      <c r="D38" t="s">
        <v>55</v>
      </c>
      <c r="E38" t="s">
        <v>1679</v>
      </c>
      <c r="F38" t="s">
        <v>56</v>
      </c>
      <c r="G38" t="s">
        <v>1308</v>
      </c>
      <c r="H38" t="s">
        <v>58</v>
      </c>
      <c r="I38" t="s">
        <v>1630</v>
      </c>
      <c r="J38" t="s">
        <v>1638</v>
      </c>
      <c r="K38" s="32"/>
      <c r="L38" t="s">
        <v>2006</v>
      </c>
      <c r="M38" t="s">
        <v>61</v>
      </c>
      <c r="N38" s="32" t="s">
        <v>62</v>
      </c>
      <c r="O38" t="s">
        <v>349</v>
      </c>
      <c r="P38">
        <v>1</v>
      </c>
      <c r="Q38" s="30"/>
      <c r="R38" s="30"/>
    </row>
    <row r="39" spans="1:18" ht="15">
      <c r="A39" s="30" t="str">
        <f t="shared" si="0"/>
        <v>6212</v>
      </c>
      <c r="B39" s="31" t="str">
        <f t="shared" si="1"/>
        <v>БЮСТГАЛЬТЕР VS Артикул 109760 цвет Терракотовый р. 34B</v>
      </c>
      <c r="C39" t="s">
        <v>1628</v>
      </c>
      <c r="D39" t="s">
        <v>55</v>
      </c>
      <c r="E39" t="s">
        <v>1680</v>
      </c>
      <c r="F39" t="s">
        <v>56</v>
      </c>
      <c r="G39" t="s">
        <v>1430</v>
      </c>
      <c r="H39" t="s">
        <v>58</v>
      </c>
      <c r="I39" t="s">
        <v>1630</v>
      </c>
      <c r="J39" t="s">
        <v>1681</v>
      </c>
      <c r="K39" s="32"/>
      <c r="L39" t="s">
        <v>2007</v>
      </c>
      <c r="M39" t="s">
        <v>61</v>
      </c>
      <c r="N39" s="32" t="s">
        <v>62</v>
      </c>
      <c r="O39" t="s">
        <v>346</v>
      </c>
      <c r="P39">
        <v>1</v>
      </c>
      <c r="Q39" s="30"/>
      <c r="R39" s="30"/>
    </row>
    <row r="40" spans="1:18" ht="15">
      <c r="A40" s="30" t="str">
        <f t="shared" si="0"/>
        <v>6212</v>
      </c>
      <c r="B40" s="31" t="str">
        <f t="shared" si="1"/>
        <v>БЮСТГАЛЬТЕР VS Артикул 109762 цвет ЧЕРНЫЙ р. 36B</v>
      </c>
      <c r="C40" t="s">
        <v>1628</v>
      </c>
      <c r="D40" t="s">
        <v>55</v>
      </c>
      <c r="E40" t="s">
        <v>1682</v>
      </c>
      <c r="F40" t="s">
        <v>56</v>
      </c>
      <c r="G40" t="s">
        <v>330</v>
      </c>
      <c r="H40" t="s">
        <v>58</v>
      </c>
      <c r="I40" t="s">
        <v>1630</v>
      </c>
      <c r="J40" t="s">
        <v>1663</v>
      </c>
      <c r="K40" s="32"/>
      <c r="L40" t="s">
        <v>2008</v>
      </c>
      <c r="M40" t="s">
        <v>61</v>
      </c>
      <c r="N40" s="32" t="s">
        <v>62</v>
      </c>
      <c r="O40" t="s">
        <v>81</v>
      </c>
      <c r="P40">
        <v>1</v>
      </c>
      <c r="Q40" s="30"/>
      <c r="R40" s="30"/>
    </row>
    <row r="41" spans="1:18" ht="15">
      <c r="A41" s="30" t="str">
        <f t="shared" si="0"/>
        <v>6212</v>
      </c>
      <c r="B41" s="31" t="str">
        <f t="shared" si="1"/>
        <v>БЮСТГАЛЬТЕР VS Артикул 109883 цвет РОЗОВЫЙ р. 40C</v>
      </c>
      <c r="C41" t="s">
        <v>1628</v>
      </c>
      <c r="D41" t="s">
        <v>55</v>
      </c>
      <c r="E41" t="s">
        <v>1683</v>
      </c>
      <c r="F41" t="s">
        <v>56</v>
      </c>
      <c r="G41" t="s">
        <v>235</v>
      </c>
      <c r="H41" t="s">
        <v>58</v>
      </c>
      <c r="I41" t="s">
        <v>1630</v>
      </c>
      <c r="J41" t="s">
        <v>1660</v>
      </c>
      <c r="K41" s="32"/>
      <c r="L41" t="s">
        <v>2009</v>
      </c>
      <c r="M41" t="s">
        <v>61</v>
      </c>
      <c r="N41" s="32" t="s">
        <v>62</v>
      </c>
      <c r="O41" t="s">
        <v>724</v>
      </c>
      <c r="P41">
        <v>1</v>
      </c>
      <c r="Q41" s="30"/>
      <c r="R41" s="30"/>
    </row>
    <row r="42" spans="1:18" ht="15">
      <c r="A42" s="30" t="str">
        <f t="shared" si="0"/>
        <v>6212</v>
      </c>
      <c r="B42" s="31" t="str">
        <f t="shared" si="1"/>
        <v>БЮСТГАЛЬТЕР VS Артикул 109987 цвет БЕЛЫЙ р. 34D</v>
      </c>
      <c r="C42" t="s">
        <v>1628</v>
      </c>
      <c r="D42" t="s">
        <v>55</v>
      </c>
      <c r="E42" t="s">
        <v>1684</v>
      </c>
      <c r="F42" t="s">
        <v>56</v>
      </c>
      <c r="G42" t="s">
        <v>98</v>
      </c>
      <c r="H42" t="s">
        <v>58</v>
      </c>
      <c r="I42" t="s">
        <v>1630</v>
      </c>
      <c r="J42" t="s">
        <v>1650</v>
      </c>
      <c r="K42" s="32"/>
      <c r="L42" t="s">
        <v>2010</v>
      </c>
      <c r="M42" t="s">
        <v>61</v>
      </c>
      <c r="N42" s="32" t="s">
        <v>62</v>
      </c>
      <c r="O42" t="s">
        <v>724</v>
      </c>
      <c r="P42">
        <v>1</v>
      </c>
      <c r="Q42" s="30"/>
      <c r="R42" s="30"/>
    </row>
    <row r="43" spans="1:18" customFormat="1" ht="15">
      <c r="A43" s="68" t="str">
        <f>LEFT(M43,4)</f>
        <v>6204</v>
      </c>
      <c r="B43" s="68" t="str">
        <f t="shared" ref="B43:B221" si="2">CONCATENATE(F43," ", C43," ",H43," ",D43," ", E43, " цвет ", G43, " р. ", J43)</f>
        <v>ПЛАТЬЕ Без товарного знака жен. Артикул 17500 цвет РАЗНОЦВЕТНЫЙ р. 52</v>
      </c>
      <c r="C43" s="69" t="s">
        <v>1690</v>
      </c>
      <c r="D43" s="70" t="s">
        <v>55</v>
      </c>
      <c r="E43" s="71">
        <v>17500</v>
      </c>
      <c r="F43" s="70" t="s">
        <v>1691</v>
      </c>
      <c r="G43" s="72" t="s">
        <v>229</v>
      </c>
      <c r="H43" s="70" t="s">
        <v>1692</v>
      </c>
      <c r="I43" s="70" t="s">
        <v>59</v>
      </c>
      <c r="J43" s="70">
        <v>52</v>
      </c>
      <c r="K43" s="71" t="s">
        <v>1693</v>
      </c>
      <c r="L43" s="71" t="s">
        <v>1693</v>
      </c>
      <c r="M43" s="73">
        <v>6204430000</v>
      </c>
      <c r="N43" s="7"/>
      <c r="O43" s="74" t="s">
        <v>94</v>
      </c>
      <c r="P43">
        <v>1</v>
      </c>
    </row>
    <row r="44" spans="1:18" customFormat="1" ht="15">
      <c r="A44" s="68" t="str">
        <f>LEFT(M44,4)</f>
        <v>6204</v>
      </c>
      <c r="B44" s="68" t="str">
        <f t="shared" si="2"/>
        <v>ПЛАТЬЕ Без товарного знака жен. Артикул 17500 цвет РАЗНОЦВЕТНЫЙ р. 56</v>
      </c>
      <c r="C44" s="69" t="s">
        <v>1690</v>
      </c>
      <c r="D44" s="70" t="s">
        <v>55</v>
      </c>
      <c r="E44" s="71">
        <v>17500</v>
      </c>
      <c r="F44" s="70" t="s">
        <v>1691</v>
      </c>
      <c r="G44" s="72" t="s">
        <v>229</v>
      </c>
      <c r="H44" s="70" t="s">
        <v>1692</v>
      </c>
      <c r="I44" s="70" t="s">
        <v>59</v>
      </c>
      <c r="J44" s="70">
        <v>56</v>
      </c>
      <c r="K44" s="71" t="s">
        <v>1693</v>
      </c>
      <c r="L44" s="71" t="s">
        <v>1693</v>
      </c>
      <c r="M44" s="73">
        <v>6204430000</v>
      </c>
      <c r="N44" s="7"/>
      <c r="O44" s="74" t="s">
        <v>94</v>
      </c>
      <c r="P44">
        <v>1</v>
      </c>
    </row>
    <row r="45" spans="1:18" customFormat="1" ht="15">
      <c r="A45" s="68" t="str">
        <f>LEFT(M45,4)</f>
        <v>6204</v>
      </c>
      <c r="B45" s="68" t="str">
        <f t="shared" si="2"/>
        <v>ПЛАТЬЕ Без товарного знака жен. Артикул 17500 цвет РАЗНОЦВЕТНЫЙ р. 52</v>
      </c>
      <c r="C45" s="69" t="s">
        <v>1690</v>
      </c>
      <c r="D45" s="70" t="s">
        <v>55</v>
      </c>
      <c r="E45" s="71">
        <v>17500</v>
      </c>
      <c r="F45" s="70" t="s">
        <v>1691</v>
      </c>
      <c r="G45" s="72" t="s">
        <v>229</v>
      </c>
      <c r="H45" s="70" t="s">
        <v>1692</v>
      </c>
      <c r="I45" s="70" t="s">
        <v>59</v>
      </c>
      <c r="J45" s="70">
        <v>52</v>
      </c>
      <c r="K45" s="71" t="s">
        <v>1693</v>
      </c>
      <c r="L45" s="71" t="s">
        <v>1693</v>
      </c>
      <c r="M45" s="73">
        <v>6204430000</v>
      </c>
      <c r="N45" s="7"/>
      <c r="O45" s="74" t="s">
        <v>94</v>
      </c>
      <c r="P45">
        <v>1</v>
      </c>
    </row>
    <row r="46" spans="1:18" customFormat="1" ht="15">
      <c r="A46" s="68" t="str">
        <f>LEFT(M46,4)</f>
        <v>6204</v>
      </c>
      <c r="B46" s="68" t="str">
        <f t="shared" si="2"/>
        <v>ПЛАТЬЕ Без товарного знака жен. Артикул 17500 цвет РАЗНОЦВЕТНЫЙ р. 54</v>
      </c>
      <c r="C46" s="69" t="s">
        <v>1690</v>
      </c>
      <c r="D46" s="70" t="s">
        <v>55</v>
      </c>
      <c r="E46" s="71">
        <v>17500</v>
      </c>
      <c r="F46" s="70" t="s">
        <v>1691</v>
      </c>
      <c r="G46" s="72" t="s">
        <v>229</v>
      </c>
      <c r="H46" s="70" t="s">
        <v>1692</v>
      </c>
      <c r="I46" s="70" t="s">
        <v>59</v>
      </c>
      <c r="J46" s="70">
        <v>54</v>
      </c>
      <c r="K46" s="71" t="s">
        <v>1693</v>
      </c>
      <c r="L46" s="71" t="s">
        <v>1693</v>
      </c>
      <c r="M46" s="73">
        <v>6204430000</v>
      </c>
      <c r="N46" s="7"/>
      <c r="O46" s="74" t="s">
        <v>94</v>
      </c>
      <c r="P46">
        <v>1</v>
      </c>
    </row>
    <row r="47" spans="1:18" customFormat="1" ht="15">
      <c r="A47" s="68" t="str">
        <f>LEFT(M47,4)</f>
        <v>6204</v>
      </c>
      <c r="B47" s="68" t="str">
        <f t="shared" si="2"/>
        <v>ПЛАТЬЕ Без товарного знака жен. Артикул 17500 цвет РАЗНОЦВЕТНЫЙ р. 56</v>
      </c>
      <c r="C47" s="69" t="s">
        <v>1690</v>
      </c>
      <c r="D47" s="70" t="s">
        <v>55</v>
      </c>
      <c r="E47" s="71">
        <v>17500</v>
      </c>
      <c r="F47" s="70" t="s">
        <v>1691</v>
      </c>
      <c r="G47" s="72" t="s">
        <v>229</v>
      </c>
      <c r="H47" s="70" t="s">
        <v>1692</v>
      </c>
      <c r="I47" s="70" t="s">
        <v>59</v>
      </c>
      <c r="J47" s="70">
        <v>56</v>
      </c>
      <c r="K47" s="71" t="s">
        <v>1693</v>
      </c>
      <c r="L47" s="71" t="s">
        <v>1693</v>
      </c>
      <c r="M47" s="73">
        <v>6204430000</v>
      </c>
      <c r="N47" s="7"/>
      <c r="O47" s="74" t="s">
        <v>94</v>
      </c>
      <c r="P47">
        <v>1</v>
      </c>
    </row>
    <row r="48" spans="1:18" customFormat="1" ht="15">
      <c r="A48" s="68" t="str">
        <f>LEFT(M48,4)</f>
        <v>6204</v>
      </c>
      <c r="B48" s="68" t="str">
        <f t="shared" si="2"/>
        <v>ПЛАТЬЕ Без товарного знака жен. Артикул 17500 цвет РАЗНОЦВЕТНЫЙ р. 54</v>
      </c>
      <c r="C48" s="69" t="s">
        <v>1690</v>
      </c>
      <c r="D48" s="70" t="s">
        <v>55</v>
      </c>
      <c r="E48" s="71">
        <v>17500</v>
      </c>
      <c r="F48" s="70" t="s">
        <v>1691</v>
      </c>
      <c r="G48" s="72" t="s">
        <v>229</v>
      </c>
      <c r="H48" s="70" t="s">
        <v>1692</v>
      </c>
      <c r="I48" s="70" t="s">
        <v>59</v>
      </c>
      <c r="J48" s="70">
        <v>54</v>
      </c>
      <c r="K48" s="71" t="s">
        <v>1693</v>
      </c>
      <c r="L48" s="71" t="s">
        <v>1693</v>
      </c>
      <c r="M48" s="73">
        <v>6204430000</v>
      </c>
      <c r="N48" s="7"/>
      <c r="O48" s="74" t="s">
        <v>94</v>
      </c>
      <c r="P48">
        <v>1</v>
      </c>
    </row>
    <row r="49" spans="1:16" customFormat="1" ht="15">
      <c r="A49" s="68" t="str">
        <f>LEFT(M49,4)</f>
        <v>6204</v>
      </c>
      <c r="B49" s="68" t="str">
        <f t="shared" si="2"/>
        <v>ПЛАТЬЕ Без товарного знака жен. Артикул 17500 цвет РАЗНОЦВЕТНЫЙ р. 56</v>
      </c>
      <c r="C49" s="69" t="s">
        <v>1690</v>
      </c>
      <c r="D49" s="70" t="s">
        <v>55</v>
      </c>
      <c r="E49" s="71">
        <v>17500</v>
      </c>
      <c r="F49" s="70" t="s">
        <v>1691</v>
      </c>
      <c r="G49" s="72" t="s">
        <v>229</v>
      </c>
      <c r="H49" s="70" t="s">
        <v>1692</v>
      </c>
      <c r="I49" s="70" t="s">
        <v>59</v>
      </c>
      <c r="J49" s="70">
        <v>56</v>
      </c>
      <c r="K49" s="71" t="s">
        <v>1693</v>
      </c>
      <c r="L49" s="71" t="s">
        <v>1693</v>
      </c>
      <c r="M49" s="73">
        <v>6204430000</v>
      </c>
      <c r="N49" s="7"/>
      <c r="O49" s="74" t="s">
        <v>94</v>
      </c>
      <c r="P49">
        <v>1</v>
      </c>
    </row>
    <row r="50" spans="1:16" customFormat="1" ht="15">
      <c r="A50" s="68" t="str">
        <f>LEFT(M50,4)</f>
        <v>6204</v>
      </c>
      <c r="B50" s="68" t="str">
        <f t="shared" si="2"/>
        <v>ПЛАТЬЕ Без товарного знака жен. Артикул 1776 цвет МЯТНЫЙ р. 50</v>
      </c>
      <c r="C50" s="69" t="s">
        <v>1690</v>
      </c>
      <c r="D50" s="70" t="s">
        <v>55</v>
      </c>
      <c r="E50" s="71">
        <v>1776</v>
      </c>
      <c r="F50" s="70" t="s">
        <v>1691</v>
      </c>
      <c r="G50" s="72" t="s">
        <v>205</v>
      </c>
      <c r="H50" s="70" t="s">
        <v>1692</v>
      </c>
      <c r="I50" s="70" t="s">
        <v>59</v>
      </c>
      <c r="J50" s="70">
        <v>50</v>
      </c>
      <c r="K50" s="71" t="s">
        <v>1693</v>
      </c>
      <c r="L50" s="71" t="s">
        <v>1693</v>
      </c>
      <c r="M50" s="73">
        <v>6204430000</v>
      </c>
      <c r="N50" s="7"/>
      <c r="O50" s="74" t="s">
        <v>94</v>
      </c>
      <c r="P50">
        <v>1</v>
      </c>
    </row>
    <row r="51" spans="1:16" customFormat="1" ht="15">
      <c r="A51" s="68" t="str">
        <f>LEFT(M51,4)</f>
        <v>6204</v>
      </c>
      <c r="B51" s="68" t="str">
        <f t="shared" si="2"/>
        <v>ПЛАТЬЕ Без товарного знака жен. Артикул 1554 цвет РАЗНОЦВЕТНЫЙ р. 50</v>
      </c>
      <c r="C51" s="69" t="s">
        <v>1690</v>
      </c>
      <c r="D51" s="70" t="s">
        <v>55</v>
      </c>
      <c r="E51" s="71">
        <v>1554</v>
      </c>
      <c r="F51" s="70" t="s">
        <v>1691</v>
      </c>
      <c r="G51" s="72" t="s">
        <v>229</v>
      </c>
      <c r="H51" s="70" t="s">
        <v>1692</v>
      </c>
      <c r="I51" s="70" t="s">
        <v>59</v>
      </c>
      <c r="J51" s="70">
        <v>50</v>
      </c>
      <c r="K51" s="71" t="s">
        <v>1693</v>
      </c>
      <c r="L51" s="71" t="s">
        <v>1693</v>
      </c>
      <c r="M51" s="73">
        <v>6204430000</v>
      </c>
      <c r="N51" s="7"/>
      <c r="O51" s="74" t="s">
        <v>94</v>
      </c>
      <c r="P51">
        <v>1</v>
      </c>
    </row>
    <row r="52" spans="1:16" customFormat="1" ht="15">
      <c r="A52" s="68" t="str">
        <f>LEFT(M52,4)</f>
        <v>6204</v>
      </c>
      <c r="B52" s="68" t="str">
        <f t="shared" si="2"/>
        <v>ПЛАТЬЕ Без товарного знака жен. Артикул 1554 цвет РАЗНОЦВЕТНЫЙ р. 52</v>
      </c>
      <c r="C52" s="69" t="s">
        <v>1690</v>
      </c>
      <c r="D52" s="70" t="s">
        <v>55</v>
      </c>
      <c r="E52" s="71">
        <v>1554</v>
      </c>
      <c r="F52" s="70" t="s">
        <v>1691</v>
      </c>
      <c r="G52" s="72" t="s">
        <v>229</v>
      </c>
      <c r="H52" s="70" t="s">
        <v>1692</v>
      </c>
      <c r="I52" s="70" t="s">
        <v>59</v>
      </c>
      <c r="J52" s="70">
        <v>52</v>
      </c>
      <c r="K52" s="71" t="s">
        <v>1693</v>
      </c>
      <c r="L52" s="71" t="s">
        <v>1693</v>
      </c>
      <c r="M52" s="73">
        <v>6204430000</v>
      </c>
      <c r="N52" s="7"/>
      <c r="O52" s="74" t="s">
        <v>94</v>
      </c>
      <c r="P52">
        <v>1</v>
      </c>
    </row>
    <row r="53" spans="1:16" customFormat="1" ht="15">
      <c r="A53" s="68" t="str">
        <f>LEFT(M53,4)</f>
        <v>6204</v>
      </c>
      <c r="B53" s="68" t="str">
        <f t="shared" si="2"/>
        <v>ПЛАТЬЕ Без товарного знака жен. Артикул 1554 цвет РАЗНОЦВЕТНЫЙ р. 54</v>
      </c>
      <c r="C53" s="69" t="s">
        <v>1690</v>
      </c>
      <c r="D53" s="70" t="s">
        <v>55</v>
      </c>
      <c r="E53" s="71">
        <v>1554</v>
      </c>
      <c r="F53" s="70" t="s">
        <v>1691</v>
      </c>
      <c r="G53" s="72" t="s">
        <v>229</v>
      </c>
      <c r="H53" s="70" t="s">
        <v>1692</v>
      </c>
      <c r="I53" s="70" t="s">
        <v>59</v>
      </c>
      <c r="J53" s="70">
        <v>54</v>
      </c>
      <c r="K53" s="71" t="s">
        <v>1693</v>
      </c>
      <c r="L53" s="71" t="s">
        <v>1693</v>
      </c>
      <c r="M53" s="73">
        <v>6204430000</v>
      </c>
      <c r="N53" s="7"/>
      <c r="O53" s="74" t="s">
        <v>94</v>
      </c>
      <c r="P53">
        <v>1</v>
      </c>
    </row>
    <row r="54" spans="1:16" customFormat="1" ht="15">
      <c r="A54" s="68" t="str">
        <f>LEFT(M54,4)</f>
        <v>6204</v>
      </c>
      <c r="B54" s="68" t="str">
        <f t="shared" si="2"/>
        <v>ПЛАТЬЕ Без товарного знака жен. Артикул 1554 цвет РАЗНОЦВЕТНЫЙ р. 56</v>
      </c>
      <c r="C54" s="69" t="s">
        <v>1690</v>
      </c>
      <c r="D54" s="70" t="s">
        <v>55</v>
      </c>
      <c r="E54" s="71">
        <v>1554</v>
      </c>
      <c r="F54" s="70" t="s">
        <v>1691</v>
      </c>
      <c r="G54" s="72" t="s">
        <v>229</v>
      </c>
      <c r="H54" s="70" t="s">
        <v>1692</v>
      </c>
      <c r="I54" s="70" t="s">
        <v>59</v>
      </c>
      <c r="J54" s="70">
        <v>56</v>
      </c>
      <c r="K54" s="71" t="s">
        <v>1693</v>
      </c>
      <c r="L54" s="71" t="s">
        <v>1693</v>
      </c>
      <c r="M54" s="73">
        <v>6204430000</v>
      </c>
      <c r="N54" s="7"/>
      <c r="O54" s="74" t="s">
        <v>94</v>
      </c>
      <c r="P54">
        <v>1</v>
      </c>
    </row>
    <row r="55" spans="1:16" customFormat="1" ht="15">
      <c r="A55" s="68" t="str">
        <f>LEFT(M55,4)</f>
        <v>6204</v>
      </c>
      <c r="B55" s="68" t="str">
        <f t="shared" si="2"/>
        <v>ПЛАТЬЕ Без товарного знака жен. Артикул 1554 цвет РАЗНОЦВЕТНЫЙ р. 50</v>
      </c>
      <c r="C55" s="69" t="s">
        <v>1690</v>
      </c>
      <c r="D55" s="70" t="s">
        <v>55</v>
      </c>
      <c r="E55" s="71">
        <v>1554</v>
      </c>
      <c r="F55" s="70" t="s">
        <v>1691</v>
      </c>
      <c r="G55" s="72" t="s">
        <v>229</v>
      </c>
      <c r="H55" s="70" t="s">
        <v>1692</v>
      </c>
      <c r="I55" s="70" t="s">
        <v>59</v>
      </c>
      <c r="J55" s="70">
        <v>50</v>
      </c>
      <c r="K55" s="71" t="s">
        <v>1693</v>
      </c>
      <c r="L55" s="71" t="s">
        <v>1693</v>
      </c>
      <c r="M55" s="73">
        <v>6204430000</v>
      </c>
      <c r="N55" s="7"/>
      <c r="O55" s="74" t="s">
        <v>94</v>
      </c>
      <c r="P55">
        <v>1</v>
      </c>
    </row>
    <row r="56" spans="1:16" customFormat="1" ht="15">
      <c r="A56" s="68" t="str">
        <f>LEFT(M56,4)</f>
        <v>6204</v>
      </c>
      <c r="B56" s="68" t="str">
        <f t="shared" si="2"/>
        <v>ПЛАТЬЕ Без товарного знака жен. Артикул 1554 цвет РАЗНОЦВЕТНЫЙ р. 52</v>
      </c>
      <c r="C56" s="69" t="s">
        <v>1690</v>
      </c>
      <c r="D56" s="70" t="s">
        <v>55</v>
      </c>
      <c r="E56" s="71">
        <v>1554</v>
      </c>
      <c r="F56" s="70" t="s">
        <v>1691</v>
      </c>
      <c r="G56" s="72" t="s">
        <v>229</v>
      </c>
      <c r="H56" s="70" t="s">
        <v>1692</v>
      </c>
      <c r="I56" s="70" t="s">
        <v>59</v>
      </c>
      <c r="J56" s="70">
        <v>52</v>
      </c>
      <c r="K56" s="71" t="s">
        <v>1693</v>
      </c>
      <c r="L56" s="71" t="s">
        <v>1693</v>
      </c>
      <c r="M56" s="73">
        <v>6204430000</v>
      </c>
      <c r="N56" s="7"/>
      <c r="O56" s="74" t="s">
        <v>94</v>
      </c>
      <c r="P56">
        <v>1</v>
      </c>
    </row>
    <row r="57" spans="1:16" customFormat="1" ht="15">
      <c r="A57" s="68" t="str">
        <f>LEFT(M57,4)</f>
        <v>6204</v>
      </c>
      <c r="B57" s="68" t="str">
        <f t="shared" si="2"/>
        <v>ПЛАТЬЕ Без товарного знака жен. Артикул 1554 цвет РАЗНОЦВЕТНЫЙ р. 54</v>
      </c>
      <c r="C57" s="69" t="s">
        <v>1690</v>
      </c>
      <c r="D57" s="70" t="s">
        <v>55</v>
      </c>
      <c r="E57" s="71">
        <v>1554</v>
      </c>
      <c r="F57" s="70" t="s">
        <v>1691</v>
      </c>
      <c r="G57" s="72" t="s">
        <v>229</v>
      </c>
      <c r="H57" s="70" t="s">
        <v>1692</v>
      </c>
      <c r="I57" s="70" t="s">
        <v>59</v>
      </c>
      <c r="J57" s="70">
        <v>54</v>
      </c>
      <c r="K57" s="71" t="s">
        <v>1693</v>
      </c>
      <c r="L57" s="71" t="s">
        <v>1693</v>
      </c>
      <c r="M57" s="73">
        <v>6204430000</v>
      </c>
      <c r="N57" s="7"/>
      <c r="O57" s="74" t="s">
        <v>94</v>
      </c>
      <c r="P57">
        <v>1</v>
      </c>
    </row>
    <row r="58" spans="1:16" customFormat="1" ht="15">
      <c r="A58" s="68" t="str">
        <f>LEFT(M58,4)</f>
        <v>6204</v>
      </c>
      <c r="B58" s="68" t="str">
        <f t="shared" si="2"/>
        <v>ПЛАТЬЕ Без товарного знака жен. Артикул 1554 цвет РАЗНОЦВЕТНЫЙ р. 56</v>
      </c>
      <c r="C58" s="69" t="s">
        <v>1690</v>
      </c>
      <c r="D58" s="70" t="s">
        <v>55</v>
      </c>
      <c r="E58" s="71">
        <v>1554</v>
      </c>
      <c r="F58" s="70" t="s">
        <v>1691</v>
      </c>
      <c r="G58" s="72" t="s">
        <v>229</v>
      </c>
      <c r="H58" s="70" t="s">
        <v>1692</v>
      </c>
      <c r="I58" s="70" t="s">
        <v>59</v>
      </c>
      <c r="J58" s="70">
        <v>56</v>
      </c>
      <c r="K58" s="71" t="s">
        <v>1693</v>
      </c>
      <c r="L58" s="71" t="s">
        <v>1693</v>
      </c>
      <c r="M58" s="73">
        <v>6204430000</v>
      </c>
      <c r="N58" s="7"/>
      <c r="O58" s="74" t="s">
        <v>94</v>
      </c>
      <c r="P58">
        <v>1</v>
      </c>
    </row>
    <row r="59" spans="1:16" customFormat="1" ht="15">
      <c r="A59" s="68" t="str">
        <f>LEFT(M59,4)</f>
        <v>6204</v>
      </c>
      <c r="B59" s="68" t="str">
        <f t="shared" si="2"/>
        <v>ПЛАТЬЕ Без товарного знака жен. Артикул 2943 цвет красный р. 52</v>
      </c>
      <c r="C59" s="69" t="s">
        <v>1690</v>
      </c>
      <c r="D59" s="70" t="s">
        <v>55</v>
      </c>
      <c r="E59" s="71">
        <v>2943</v>
      </c>
      <c r="F59" s="70" t="s">
        <v>1691</v>
      </c>
      <c r="G59" s="72" t="s">
        <v>1694</v>
      </c>
      <c r="H59" s="70" t="s">
        <v>1692</v>
      </c>
      <c r="I59" s="70" t="s">
        <v>59</v>
      </c>
      <c r="J59" s="70">
        <v>52</v>
      </c>
      <c r="K59" s="71" t="s">
        <v>1693</v>
      </c>
      <c r="L59" s="71" t="s">
        <v>1693</v>
      </c>
      <c r="M59" s="73">
        <v>6204430000</v>
      </c>
      <c r="N59" s="7"/>
      <c r="O59" s="74" t="s">
        <v>94</v>
      </c>
      <c r="P59">
        <v>1</v>
      </c>
    </row>
    <row r="60" spans="1:16" customFormat="1" ht="15">
      <c r="A60" s="68" t="str">
        <f>LEFT(M60,4)</f>
        <v>6204</v>
      </c>
      <c r="B60" s="68" t="str">
        <f t="shared" si="2"/>
        <v>ПЛАТЬЕ Без товарного знака жен. Артикул 2943 цвет красный р. 56</v>
      </c>
      <c r="C60" s="69" t="s">
        <v>1690</v>
      </c>
      <c r="D60" s="70" t="s">
        <v>55</v>
      </c>
      <c r="E60" s="71">
        <v>2943</v>
      </c>
      <c r="F60" s="70" t="s">
        <v>1691</v>
      </c>
      <c r="G60" s="72" t="s">
        <v>1694</v>
      </c>
      <c r="H60" s="70" t="s">
        <v>1692</v>
      </c>
      <c r="I60" s="70" t="s">
        <v>59</v>
      </c>
      <c r="J60" s="70">
        <v>56</v>
      </c>
      <c r="K60" s="71" t="s">
        <v>1693</v>
      </c>
      <c r="L60" s="71" t="s">
        <v>1693</v>
      </c>
      <c r="M60" s="73">
        <v>6204430000</v>
      </c>
      <c r="N60" s="7"/>
      <c r="O60" s="74" t="s">
        <v>94</v>
      </c>
      <c r="P60">
        <v>1</v>
      </c>
    </row>
    <row r="61" spans="1:16" customFormat="1" ht="15">
      <c r="A61" s="68" t="str">
        <f>LEFT(M61,4)</f>
        <v>6204</v>
      </c>
      <c r="B61" s="68" t="str">
        <f t="shared" si="2"/>
        <v>ПЛАТЬЕ Без товарного знака жен. Артикул 2943 цвет красный р. 58</v>
      </c>
      <c r="C61" s="69" t="s">
        <v>1690</v>
      </c>
      <c r="D61" s="70" t="s">
        <v>55</v>
      </c>
      <c r="E61" s="71">
        <v>2943</v>
      </c>
      <c r="F61" s="70" t="s">
        <v>1691</v>
      </c>
      <c r="G61" s="72" t="s">
        <v>1694</v>
      </c>
      <c r="H61" s="70" t="s">
        <v>1692</v>
      </c>
      <c r="I61" s="70" t="s">
        <v>59</v>
      </c>
      <c r="J61" s="70">
        <v>58</v>
      </c>
      <c r="K61" s="71" t="s">
        <v>1693</v>
      </c>
      <c r="L61" s="71" t="s">
        <v>1693</v>
      </c>
      <c r="M61" s="73">
        <v>6204430000</v>
      </c>
      <c r="N61" s="7"/>
      <c r="O61" s="74" t="s">
        <v>94</v>
      </c>
      <c r="P61">
        <v>1</v>
      </c>
    </row>
    <row r="62" spans="1:16" customFormat="1" ht="15">
      <c r="A62" s="68" t="str">
        <f>LEFT(M62,4)</f>
        <v>6204</v>
      </c>
      <c r="B62" s="68" t="str">
        <f t="shared" si="2"/>
        <v>ПЛАТЬЕ Без товарного знака жен. Артикул 2943 цвет синий р. 50</v>
      </c>
      <c r="C62" s="69" t="s">
        <v>1690</v>
      </c>
      <c r="D62" s="70" t="s">
        <v>55</v>
      </c>
      <c r="E62" s="71">
        <v>2943</v>
      </c>
      <c r="F62" s="70" t="s">
        <v>1691</v>
      </c>
      <c r="G62" s="72" t="s">
        <v>1695</v>
      </c>
      <c r="H62" s="70" t="s">
        <v>1692</v>
      </c>
      <c r="I62" s="70" t="s">
        <v>59</v>
      </c>
      <c r="J62" s="70">
        <v>50</v>
      </c>
      <c r="K62" s="71" t="s">
        <v>1693</v>
      </c>
      <c r="L62" s="71" t="s">
        <v>1693</v>
      </c>
      <c r="M62" s="73">
        <v>6204430000</v>
      </c>
      <c r="N62" s="7"/>
      <c r="O62" s="74" t="s">
        <v>94</v>
      </c>
      <c r="P62">
        <v>1</v>
      </c>
    </row>
    <row r="63" spans="1:16" customFormat="1" ht="15">
      <c r="A63" s="68" t="str">
        <f>LEFT(M63,4)</f>
        <v>6204</v>
      </c>
      <c r="B63" s="68" t="str">
        <f t="shared" si="2"/>
        <v>ПЛАТЬЕ Без товарного знака жен. Артикул 2943 цвет синий р. 52</v>
      </c>
      <c r="C63" s="69" t="s">
        <v>1690</v>
      </c>
      <c r="D63" s="70" t="s">
        <v>55</v>
      </c>
      <c r="E63" s="71">
        <v>2943</v>
      </c>
      <c r="F63" s="70" t="s">
        <v>1691</v>
      </c>
      <c r="G63" s="72" t="s">
        <v>1695</v>
      </c>
      <c r="H63" s="70" t="s">
        <v>1692</v>
      </c>
      <c r="I63" s="70" t="s">
        <v>59</v>
      </c>
      <c r="J63" s="70">
        <v>52</v>
      </c>
      <c r="K63" s="71" t="s">
        <v>1693</v>
      </c>
      <c r="L63" s="71" t="s">
        <v>1693</v>
      </c>
      <c r="M63" s="73">
        <v>6204430000</v>
      </c>
      <c r="N63" s="7"/>
      <c r="O63" s="74" t="s">
        <v>94</v>
      </c>
      <c r="P63">
        <v>1</v>
      </c>
    </row>
    <row r="64" spans="1:16" customFormat="1" ht="15">
      <c r="A64" s="68" t="str">
        <f>LEFT(M64,4)</f>
        <v>6204</v>
      </c>
      <c r="B64" s="68" t="str">
        <f t="shared" si="2"/>
        <v>ПЛАТЬЕ Без товарного знака жен. Артикул 2943 цвет синий р. 56</v>
      </c>
      <c r="C64" s="69" t="s">
        <v>1690</v>
      </c>
      <c r="D64" s="70" t="s">
        <v>55</v>
      </c>
      <c r="E64" s="71">
        <v>2943</v>
      </c>
      <c r="F64" s="70" t="s">
        <v>1691</v>
      </c>
      <c r="G64" s="72" t="s">
        <v>1695</v>
      </c>
      <c r="H64" s="70" t="s">
        <v>1692</v>
      </c>
      <c r="I64" s="70" t="s">
        <v>59</v>
      </c>
      <c r="J64" s="70">
        <v>56</v>
      </c>
      <c r="K64" s="71" t="s">
        <v>1693</v>
      </c>
      <c r="L64" s="71" t="s">
        <v>1693</v>
      </c>
      <c r="M64" s="73">
        <v>6204430000</v>
      </c>
      <c r="N64" s="7"/>
      <c r="O64" s="74" t="s">
        <v>94</v>
      </c>
      <c r="P64">
        <v>1</v>
      </c>
    </row>
    <row r="65" spans="1:16" customFormat="1" ht="15">
      <c r="A65" s="68" t="str">
        <f>LEFT(M65,4)</f>
        <v>6204</v>
      </c>
      <c r="B65" s="68" t="str">
        <f t="shared" si="2"/>
        <v>ПЛАТЬЕ Без товарного знака жен. Артикул 2943 цвет синий р. 58</v>
      </c>
      <c r="C65" s="69" t="s">
        <v>1690</v>
      </c>
      <c r="D65" s="70" t="s">
        <v>55</v>
      </c>
      <c r="E65" s="71">
        <v>2943</v>
      </c>
      <c r="F65" s="70" t="s">
        <v>1691</v>
      </c>
      <c r="G65" s="72" t="s">
        <v>1695</v>
      </c>
      <c r="H65" s="70" t="s">
        <v>1692</v>
      </c>
      <c r="I65" s="70" t="s">
        <v>59</v>
      </c>
      <c r="J65" s="70">
        <v>58</v>
      </c>
      <c r="K65" s="71" t="s">
        <v>1693</v>
      </c>
      <c r="L65" s="71" t="s">
        <v>1693</v>
      </c>
      <c r="M65" s="73">
        <v>6204430000</v>
      </c>
      <c r="N65" s="7"/>
      <c r="O65" s="74" t="s">
        <v>94</v>
      </c>
      <c r="P65">
        <v>1</v>
      </c>
    </row>
    <row r="66" spans="1:16" customFormat="1" ht="15">
      <c r="A66" s="68" t="str">
        <f>LEFT(M66,4)</f>
        <v>6204</v>
      </c>
      <c r="B66" s="68" t="str">
        <f t="shared" si="2"/>
        <v>ПЛАТЬЕ Без товарного знака жен. Артикул 3791 цвет бордо р. 52</v>
      </c>
      <c r="C66" s="69" t="s">
        <v>1690</v>
      </c>
      <c r="D66" s="70" t="s">
        <v>55</v>
      </c>
      <c r="E66" s="71">
        <v>3791</v>
      </c>
      <c r="F66" s="70" t="s">
        <v>1691</v>
      </c>
      <c r="G66" s="75" t="s">
        <v>1696</v>
      </c>
      <c r="H66" s="70" t="s">
        <v>1692</v>
      </c>
      <c r="I66" s="70" t="s">
        <v>59</v>
      </c>
      <c r="J66" s="70">
        <v>52</v>
      </c>
      <c r="K66" s="71" t="s">
        <v>1693</v>
      </c>
      <c r="L66" s="71" t="s">
        <v>1693</v>
      </c>
      <c r="M66" s="73">
        <v>6204430000</v>
      </c>
      <c r="N66" s="7"/>
      <c r="O66" s="74" t="s">
        <v>94</v>
      </c>
      <c r="P66">
        <v>1</v>
      </c>
    </row>
    <row r="67" spans="1:16" customFormat="1" ht="15">
      <c r="A67" s="68" t="str">
        <f>LEFT(M67,4)</f>
        <v>6204</v>
      </c>
      <c r="B67" s="68" t="str">
        <f t="shared" si="2"/>
        <v>ПЛАТЬЕ Без товарного знака жен. Артикул 3791 цвет бордо р. 54</v>
      </c>
      <c r="C67" s="69" t="s">
        <v>1690</v>
      </c>
      <c r="D67" s="70" t="s">
        <v>55</v>
      </c>
      <c r="E67" s="71">
        <v>3791</v>
      </c>
      <c r="F67" s="70" t="s">
        <v>1691</v>
      </c>
      <c r="G67" s="75" t="s">
        <v>1696</v>
      </c>
      <c r="H67" s="70" t="s">
        <v>1692</v>
      </c>
      <c r="I67" s="70" t="s">
        <v>59</v>
      </c>
      <c r="J67" s="70">
        <v>54</v>
      </c>
      <c r="K67" s="71" t="s">
        <v>1693</v>
      </c>
      <c r="L67" s="71" t="s">
        <v>1693</v>
      </c>
      <c r="M67" s="73">
        <v>6204430000</v>
      </c>
      <c r="N67" s="7"/>
      <c r="O67" s="74" t="s">
        <v>94</v>
      </c>
      <c r="P67">
        <v>1</v>
      </c>
    </row>
    <row r="68" spans="1:16" customFormat="1" ht="15">
      <c r="A68" s="68" t="str">
        <f>LEFT(M68,4)</f>
        <v>6204</v>
      </c>
      <c r="B68" s="68" t="str">
        <f t="shared" si="2"/>
        <v>ПЛАТЬЕ Без товарного знака жен. Артикул 3791 цвет ЗЕЛЕНЫЙ р. 52</v>
      </c>
      <c r="C68" s="69" t="s">
        <v>1690</v>
      </c>
      <c r="D68" s="70" t="s">
        <v>55</v>
      </c>
      <c r="E68" s="71">
        <v>3791</v>
      </c>
      <c r="F68" s="70" t="s">
        <v>1691</v>
      </c>
      <c r="G68" s="72" t="s">
        <v>345</v>
      </c>
      <c r="H68" s="70" t="s">
        <v>1692</v>
      </c>
      <c r="I68" s="70" t="s">
        <v>59</v>
      </c>
      <c r="J68" s="70">
        <v>52</v>
      </c>
      <c r="K68" s="71" t="s">
        <v>1693</v>
      </c>
      <c r="L68" s="71" t="s">
        <v>1693</v>
      </c>
      <c r="M68" s="73">
        <v>6204430000</v>
      </c>
      <c r="N68" s="7"/>
      <c r="O68" s="74" t="s">
        <v>94</v>
      </c>
      <c r="P68">
        <v>1</v>
      </c>
    </row>
    <row r="69" spans="1:16" customFormat="1" ht="15">
      <c r="A69" s="68" t="str">
        <f>LEFT(M69,4)</f>
        <v>6204</v>
      </c>
      <c r="B69" s="68" t="str">
        <f t="shared" si="2"/>
        <v>ПЛАТЬЕ Без товарного знака жен. Артикул 19005 цвет бирюзовый р. 52</v>
      </c>
      <c r="C69" s="69" t="s">
        <v>1690</v>
      </c>
      <c r="D69" s="70" t="s">
        <v>55</v>
      </c>
      <c r="E69" s="71">
        <v>19005</v>
      </c>
      <c r="F69" s="70" t="s">
        <v>1691</v>
      </c>
      <c r="G69" s="75" t="s">
        <v>1697</v>
      </c>
      <c r="H69" s="70" t="s">
        <v>1692</v>
      </c>
      <c r="I69" s="70" t="s">
        <v>59</v>
      </c>
      <c r="J69" s="70">
        <v>52</v>
      </c>
      <c r="K69" s="71" t="s">
        <v>1693</v>
      </c>
      <c r="L69" s="71" t="s">
        <v>1693</v>
      </c>
      <c r="M69" s="73">
        <v>6204430000</v>
      </c>
      <c r="N69" s="7"/>
      <c r="O69" s="74" t="s">
        <v>94</v>
      </c>
      <c r="P69">
        <v>1</v>
      </c>
    </row>
    <row r="70" spans="1:16" customFormat="1" ht="15">
      <c r="A70" s="68" t="str">
        <f>LEFT(M70,4)</f>
        <v>6204</v>
      </c>
      <c r="B70" s="68" t="str">
        <f t="shared" si="2"/>
        <v>ПЛАТЬЕ Без товарного знака жен. Артикул 19005 цвет бирюзовый р. 54</v>
      </c>
      <c r="C70" s="69" t="s">
        <v>1690</v>
      </c>
      <c r="D70" s="70" t="s">
        <v>55</v>
      </c>
      <c r="E70" s="71">
        <v>19005</v>
      </c>
      <c r="F70" s="70" t="s">
        <v>1691</v>
      </c>
      <c r="G70" s="75" t="s">
        <v>1697</v>
      </c>
      <c r="H70" s="70" t="s">
        <v>1692</v>
      </c>
      <c r="I70" s="70" t="s">
        <v>59</v>
      </c>
      <c r="J70" s="70">
        <v>54</v>
      </c>
      <c r="K70" s="71" t="s">
        <v>1693</v>
      </c>
      <c r="L70" s="71" t="s">
        <v>1693</v>
      </c>
      <c r="M70" s="73">
        <v>6204430000</v>
      </c>
      <c r="N70" s="7"/>
      <c r="O70" s="74" t="s">
        <v>94</v>
      </c>
      <c r="P70">
        <v>1</v>
      </c>
    </row>
    <row r="71" spans="1:16" customFormat="1" ht="15">
      <c r="A71" s="68" t="str">
        <f>LEFT(M71,4)</f>
        <v>6204</v>
      </c>
      <c r="B71" s="68" t="str">
        <f t="shared" si="2"/>
        <v>ПЛАТЬЕ Без товарного знака жен. Артикул 19005 цвет бирюзовый р. 56</v>
      </c>
      <c r="C71" s="69" t="s">
        <v>1690</v>
      </c>
      <c r="D71" s="70" t="s">
        <v>55</v>
      </c>
      <c r="E71" s="71">
        <v>19005</v>
      </c>
      <c r="F71" s="70" t="s">
        <v>1691</v>
      </c>
      <c r="G71" s="75" t="s">
        <v>1697</v>
      </c>
      <c r="H71" s="70" t="s">
        <v>1692</v>
      </c>
      <c r="I71" s="70" t="s">
        <v>59</v>
      </c>
      <c r="J71" s="70">
        <v>56</v>
      </c>
      <c r="K71" s="71" t="s">
        <v>1693</v>
      </c>
      <c r="L71" s="71" t="s">
        <v>1693</v>
      </c>
      <c r="M71" s="73">
        <v>6204430000</v>
      </c>
      <c r="N71" s="7"/>
      <c r="O71" s="74" t="s">
        <v>94</v>
      </c>
      <c r="P71">
        <v>1</v>
      </c>
    </row>
    <row r="72" spans="1:16" customFormat="1" ht="15">
      <c r="A72" s="68" t="str">
        <f>LEFT(M72,4)</f>
        <v>6204</v>
      </c>
      <c r="B72" s="68" t="str">
        <f t="shared" si="2"/>
        <v>ПЛАТЬЕ Без товарного знака жен. Артикул 19005 цвет синий р. 54</v>
      </c>
      <c r="C72" s="69" t="s">
        <v>1690</v>
      </c>
      <c r="D72" s="70" t="s">
        <v>55</v>
      </c>
      <c r="E72" s="71">
        <v>19005</v>
      </c>
      <c r="F72" s="70" t="s">
        <v>1691</v>
      </c>
      <c r="G72" s="72" t="s">
        <v>1695</v>
      </c>
      <c r="H72" s="70" t="s">
        <v>1692</v>
      </c>
      <c r="I72" s="70" t="s">
        <v>59</v>
      </c>
      <c r="J72" s="70">
        <v>54</v>
      </c>
      <c r="K72" s="71" t="s">
        <v>1693</v>
      </c>
      <c r="L72" s="71" t="s">
        <v>1693</v>
      </c>
      <c r="M72" s="73">
        <v>6204430000</v>
      </c>
      <c r="N72" s="7"/>
      <c r="O72" s="74" t="s">
        <v>94</v>
      </c>
      <c r="P72">
        <v>1</v>
      </c>
    </row>
    <row r="73" spans="1:16" customFormat="1" ht="15">
      <c r="A73" s="68" t="str">
        <f>LEFT(M73,4)</f>
        <v>6204</v>
      </c>
      <c r="B73" s="68" t="str">
        <f t="shared" si="2"/>
        <v>ПЛАТЬЕ Без товарного знака жен. Артикул 19005 цвет синий р. 56</v>
      </c>
      <c r="C73" s="69" t="s">
        <v>1690</v>
      </c>
      <c r="D73" s="70" t="s">
        <v>55</v>
      </c>
      <c r="E73" s="71">
        <v>19005</v>
      </c>
      <c r="F73" s="70" t="s">
        <v>1691</v>
      </c>
      <c r="G73" s="72" t="s">
        <v>1695</v>
      </c>
      <c r="H73" s="70" t="s">
        <v>1692</v>
      </c>
      <c r="I73" s="70" t="s">
        <v>59</v>
      </c>
      <c r="J73" s="70">
        <v>56</v>
      </c>
      <c r="K73" s="71" t="s">
        <v>1693</v>
      </c>
      <c r="L73" s="71" t="s">
        <v>1693</v>
      </c>
      <c r="M73" s="73">
        <v>6204430000</v>
      </c>
      <c r="N73" s="7"/>
      <c r="O73" s="74" t="s">
        <v>94</v>
      </c>
      <c r="P73">
        <v>1</v>
      </c>
    </row>
    <row r="74" spans="1:16" customFormat="1" ht="15">
      <c r="A74" s="68" t="str">
        <f>LEFT(M74,4)</f>
        <v>6204</v>
      </c>
      <c r="B74" s="68" t="str">
        <f t="shared" si="2"/>
        <v>ПЛАТЬЕ Без товарного знака жен. Артикул 7625 цвет изумрудный р. 50</v>
      </c>
      <c r="C74" s="69" t="s">
        <v>1690</v>
      </c>
      <c r="D74" s="70" t="s">
        <v>55</v>
      </c>
      <c r="E74" s="71">
        <v>7625</v>
      </c>
      <c r="F74" s="70" t="s">
        <v>1691</v>
      </c>
      <c r="G74" s="72" t="s">
        <v>1698</v>
      </c>
      <c r="H74" s="70" t="s">
        <v>1692</v>
      </c>
      <c r="I74" s="70" t="s">
        <v>59</v>
      </c>
      <c r="J74" s="70">
        <v>50</v>
      </c>
      <c r="K74" s="71" t="s">
        <v>1693</v>
      </c>
      <c r="L74" s="71" t="s">
        <v>1693</v>
      </c>
      <c r="M74" s="73">
        <v>6204430000</v>
      </c>
      <c r="N74" s="7"/>
      <c r="O74" s="74" t="s">
        <v>94</v>
      </c>
      <c r="P74">
        <v>1</v>
      </c>
    </row>
    <row r="75" spans="1:16" customFormat="1" ht="15">
      <c r="A75" s="68" t="str">
        <f>LEFT(M75,4)</f>
        <v>6204</v>
      </c>
      <c r="B75" s="68" t="str">
        <f t="shared" si="2"/>
        <v>ПЛАТЬЕ Без товарного знака жен. Артикул 7625 цвет изумрудный р. 52</v>
      </c>
      <c r="C75" s="69" t="s">
        <v>1690</v>
      </c>
      <c r="D75" s="70" t="s">
        <v>55</v>
      </c>
      <c r="E75" s="71">
        <v>7625</v>
      </c>
      <c r="F75" s="70" t="s">
        <v>1691</v>
      </c>
      <c r="G75" s="72" t="s">
        <v>1698</v>
      </c>
      <c r="H75" s="70" t="s">
        <v>1692</v>
      </c>
      <c r="I75" s="70" t="s">
        <v>59</v>
      </c>
      <c r="J75" s="70">
        <v>52</v>
      </c>
      <c r="K75" s="71" t="s">
        <v>1693</v>
      </c>
      <c r="L75" s="71" t="s">
        <v>1693</v>
      </c>
      <c r="M75" s="73">
        <v>6204430000</v>
      </c>
      <c r="N75" s="7"/>
      <c r="O75" s="74" t="s">
        <v>94</v>
      </c>
      <c r="P75">
        <v>1</v>
      </c>
    </row>
    <row r="76" spans="1:16" customFormat="1" ht="15">
      <c r="A76" s="68" t="str">
        <f>LEFT(M76,4)</f>
        <v>6204</v>
      </c>
      <c r="B76" s="68" t="str">
        <f t="shared" si="2"/>
        <v>ПЛАТЬЕ Без товарного знака жен. Артикул 7625 цвет изумрудный р. 54</v>
      </c>
      <c r="C76" s="69" t="s">
        <v>1690</v>
      </c>
      <c r="D76" s="70" t="s">
        <v>55</v>
      </c>
      <c r="E76" s="71">
        <v>7625</v>
      </c>
      <c r="F76" s="70" t="s">
        <v>1691</v>
      </c>
      <c r="G76" s="72" t="s">
        <v>1698</v>
      </c>
      <c r="H76" s="70" t="s">
        <v>1692</v>
      </c>
      <c r="I76" s="70" t="s">
        <v>59</v>
      </c>
      <c r="J76" s="70">
        <v>54</v>
      </c>
      <c r="K76" s="71" t="s">
        <v>1693</v>
      </c>
      <c r="L76" s="71" t="s">
        <v>1693</v>
      </c>
      <c r="M76" s="73">
        <v>6204430000</v>
      </c>
      <c r="N76" s="7"/>
      <c r="O76" s="74" t="s">
        <v>94</v>
      </c>
      <c r="P76">
        <v>1</v>
      </c>
    </row>
    <row r="77" spans="1:16" customFormat="1" ht="15">
      <c r="A77" s="68" t="str">
        <f>LEFT(M77,4)</f>
        <v>6204</v>
      </c>
      <c r="B77" s="68" t="str">
        <f t="shared" si="2"/>
        <v>ПЛАТЬЕ Без товарного знака жен. Артикул 3063 цвет электрик р. 54</v>
      </c>
      <c r="C77" s="69" t="s">
        <v>1690</v>
      </c>
      <c r="D77" s="70" t="s">
        <v>55</v>
      </c>
      <c r="E77" s="71">
        <v>3063</v>
      </c>
      <c r="F77" s="70" t="s">
        <v>1691</v>
      </c>
      <c r="G77" s="72" t="s">
        <v>1699</v>
      </c>
      <c r="H77" s="70" t="s">
        <v>1692</v>
      </c>
      <c r="I77" s="70" t="s">
        <v>59</v>
      </c>
      <c r="J77" s="70">
        <v>54</v>
      </c>
      <c r="K77" s="71" t="s">
        <v>1700</v>
      </c>
      <c r="L77" s="71" t="s">
        <v>1700</v>
      </c>
      <c r="M77" s="73">
        <v>6204430000</v>
      </c>
      <c r="N77" s="7"/>
      <c r="O77" s="74" t="s">
        <v>94</v>
      </c>
      <c r="P77">
        <v>1</v>
      </c>
    </row>
    <row r="78" spans="1:16" customFormat="1" ht="15">
      <c r="A78" s="68" t="str">
        <f>LEFT(M78,4)</f>
        <v>6204</v>
      </c>
      <c r="B78" s="68" t="str">
        <f t="shared" si="2"/>
        <v>ПЛАТЬЕ Без товарного знака жен. Артикул 3063 цвет электрик р. 56</v>
      </c>
      <c r="C78" s="69" t="s">
        <v>1690</v>
      </c>
      <c r="D78" s="70" t="s">
        <v>55</v>
      </c>
      <c r="E78" s="71">
        <v>3063</v>
      </c>
      <c r="F78" s="70" t="s">
        <v>1691</v>
      </c>
      <c r="G78" s="72" t="s">
        <v>1699</v>
      </c>
      <c r="H78" s="70" t="s">
        <v>1692</v>
      </c>
      <c r="I78" s="70" t="s">
        <v>59</v>
      </c>
      <c r="J78" s="70">
        <v>56</v>
      </c>
      <c r="K78" s="71" t="s">
        <v>1700</v>
      </c>
      <c r="L78" s="71" t="s">
        <v>1700</v>
      </c>
      <c r="M78" s="73">
        <v>6204430000</v>
      </c>
      <c r="N78" s="7"/>
      <c r="O78" s="74" t="s">
        <v>94</v>
      </c>
      <c r="P78">
        <v>1</v>
      </c>
    </row>
    <row r="79" spans="1:16" customFormat="1" ht="15">
      <c r="A79" s="68" t="str">
        <f>LEFT(M79,4)</f>
        <v>6204</v>
      </c>
      <c r="B79" s="68" t="str">
        <f t="shared" si="2"/>
        <v>ПЛАТЬЕ Без товарного знака жен. Артикул 3063 цвет баклажановый р. 52</v>
      </c>
      <c r="C79" s="69" t="s">
        <v>1690</v>
      </c>
      <c r="D79" s="70" t="s">
        <v>55</v>
      </c>
      <c r="E79" s="71">
        <v>3063</v>
      </c>
      <c r="F79" s="70" t="s">
        <v>1691</v>
      </c>
      <c r="G79" s="75" t="s">
        <v>1701</v>
      </c>
      <c r="H79" s="70" t="s">
        <v>1692</v>
      </c>
      <c r="I79" s="70" t="s">
        <v>59</v>
      </c>
      <c r="J79" s="70">
        <v>52</v>
      </c>
      <c r="K79" s="71" t="s">
        <v>1700</v>
      </c>
      <c r="L79" s="71" t="s">
        <v>1700</v>
      </c>
      <c r="M79" s="73">
        <v>6204430000</v>
      </c>
      <c r="N79" s="7"/>
      <c r="O79" s="74" t="s">
        <v>94</v>
      </c>
      <c r="P79">
        <v>1</v>
      </c>
    </row>
    <row r="80" spans="1:16" customFormat="1" ht="15">
      <c r="A80" s="68" t="str">
        <f>LEFT(M80,4)</f>
        <v>6204</v>
      </c>
      <c r="B80" s="68" t="str">
        <f t="shared" si="2"/>
        <v>ПЛАТЬЕ Без товарного знака жен. Артикул 3063 цвет баклажановый р. 56</v>
      </c>
      <c r="C80" s="69" t="s">
        <v>1690</v>
      </c>
      <c r="D80" s="70" t="s">
        <v>55</v>
      </c>
      <c r="E80" s="71">
        <v>3063</v>
      </c>
      <c r="F80" s="70" t="s">
        <v>1691</v>
      </c>
      <c r="G80" s="75" t="s">
        <v>1701</v>
      </c>
      <c r="H80" s="70" t="s">
        <v>1692</v>
      </c>
      <c r="I80" s="70" t="s">
        <v>59</v>
      </c>
      <c r="J80" s="70">
        <v>56</v>
      </c>
      <c r="K80" s="71" t="s">
        <v>1700</v>
      </c>
      <c r="L80" s="71" t="s">
        <v>1700</v>
      </c>
      <c r="M80" s="73">
        <v>6204430000</v>
      </c>
      <c r="N80" s="7"/>
      <c r="O80" s="74" t="s">
        <v>94</v>
      </c>
      <c r="P80">
        <v>1</v>
      </c>
    </row>
    <row r="81" spans="1:16" customFormat="1" ht="15">
      <c r="A81" s="68" t="str">
        <f>LEFT(M81,4)</f>
        <v>6204</v>
      </c>
      <c r="B81" s="68" t="str">
        <f t="shared" si="2"/>
        <v>ПЛАТЬЕ Без товарного знака жен. Артикул 1421 цвет фуксия р. 48</v>
      </c>
      <c r="C81" s="69" t="s">
        <v>1690</v>
      </c>
      <c r="D81" s="70" t="s">
        <v>55</v>
      </c>
      <c r="E81" s="71">
        <v>1421</v>
      </c>
      <c r="F81" s="70" t="s">
        <v>1691</v>
      </c>
      <c r="G81" s="72" t="s">
        <v>1702</v>
      </c>
      <c r="H81" s="70" t="s">
        <v>1692</v>
      </c>
      <c r="I81" s="70" t="s">
        <v>59</v>
      </c>
      <c r="J81" s="70">
        <v>48</v>
      </c>
      <c r="K81" s="76" t="s">
        <v>1703</v>
      </c>
      <c r="L81" s="76" t="s">
        <v>1703</v>
      </c>
      <c r="M81" s="73">
        <v>6204420000</v>
      </c>
      <c r="N81" s="7"/>
      <c r="O81" s="74" t="s">
        <v>94</v>
      </c>
      <c r="P81">
        <v>1</v>
      </c>
    </row>
    <row r="82" spans="1:16" customFormat="1" ht="15">
      <c r="A82" s="68" t="str">
        <f>LEFT(M82,4)</f>
        <v>6204</v>
      </c>
      <c r="B82" s="68" t="str">
        <f t="shared" si="2"/>
        <v>ПЛАТЬЕ Без товарного знака жен. Артикул 974 цвет РАЗНОЦВЕТНЫЙ р. 50</v>
      </c>
      <c r="C82" s="69" t="s">
        <v>1690</v>
      </c>
      <c r="D82" s="70" t="s">
        <v>55</v>
      </c>
      <c r="E82" s="71">
        <v>974</v>
      </c>
      <c r="F82" s="70" t="s">
        <v>1691</v>
      </c>
      <c r="G82" s="72" t="s">
        <v>229</v>
      </c>
      <c r="H82" s="70" t="s">
        <v>1692</v>
      </c>
      <c r="I82" s="70" t="s">
        <v>59</v>
      </c>
      <c r="J82" s="70">
        <v>50</v>
      </c>
      <c r="K82" s="71" t="s">
        <v>1704</v>
      </c>
      <c r="L82" s="71" t="s">
        <v>1704</v>
      </c>
      <c r="M82" s="73">
        <v>6204430000</v>
      </c>
      <c r="N82" s="7"/>
      <c r="O82" s="74" t="s">
        <v>94</v>
      </c>
      <c r="P82">
        <v>1</v>
      </c>
    </row>
    <row r="83" spans="1:16" customFormat="1" ht="15">
      <c r="A83" s="68" t="str">
        <f>LEFT(M83,4)</f>
        <v>6204</v>
      </c>
      <c r="B83" s="68" t="str">
        <f t="shared" si="2"/>
        <v>ПЛАТЬЕ Без товарного знака жен. Артикул 974 цвет РАЗНОЦВЕТНЫЙ р. 52</v>
      </c>
      <c r="C83" s="69" t="s">
        <v>1690</v>
      </c>
      <c r="D83" s="70" t="s">
        <v>55</v>
      </c>
      <c r="E83" s="71">
        <v>974</v>
      </c>
      <c r="F83" s="70" t="s">
        <v>1691</v>
      </c>
      <c r="G83" s="72" t="s">
        <v>229</v>
      </c>
      <c r="H83" s="70" t="s">
        <v>1692</v>
      </c>
      <c r="I83" s="70" t="s">
        <v>59</v>
      </c>
      <c r="J83" s="70">
        <v>52</v>
      </c>
      <c r="K83" s="71" t="s">
        <v>1704</v>
      </c>
      <c r="L83" s="71" t="s">
        <v>1704</v>
      </c>
      <c r="M83" s="73">
        <v>6204430000</v>
      </c>
      <c r="N83" s="7"/>
      <c r="O83" s="74" t="s">
        <v>94</v>
      </c>
      <c r="P83">
        <v>1</v>
      </c>
    </row>
    <row r="84" spans="1:16" customFormat="1" ht="15">
      <c r="A84" s="68" t="str">
        <f>LEFT(M84,4)</f>
        <v>6204</v>
      </c>
      <c r="B84" s="68" t="str">
        <f t="shared" si="2"/>
        <v>ПЛАТЬЕ Без товарного знака жен. Артикул 1520 цвет бирюзовый р. 52</v>
      </c>
      <c r="C84" s="69" t="s">
        <v>1690</v>
      </c>
      <c r="D84" s="70" t="s">
        <v>55</v>
      </c>
      <c r="E84" s="71">
        <v>1520</v>
      </c>
      <c r="F84" s="70" t="s">
        <v>1691</v>
      </c>
      <c r="G84" s="75" t="s">
        <v>1697</v>
      </c>
      <c r="H84" s="70" t="s">
        <v>1692</v>
      </c>
      <c r="I84" s="70" t="s">
        <v>59</v>
      </c>
      <c r="J84" s="70">
        <v>52</v>
      </c>
      <c r="K84" s="71" t="s">
        <v>1693</v>
      </c>
      <c r="L84" s="71" t="s">
        <v>1693</v>
      </c>
      <c r="M84" s="73">
        <v>6204430000</v>
      </c>
      <c r="N84" s="7"/>
      <c r="O84" s="74" t="s">
        <v>94</v>
      </c>
      <c r="P84">
        <v>1</v>
      </c>
    </row>
    <row r="85" spans="1:16" customFormat="1" ht="15">
      <c r="A85" s="68" t="str">
        <f>LEFT(M85,4)</f>
        <v>6204</v>
      </c>
      <c r="B85" s="68" t="str">
        <f t="shared" si="2"/>
        <v>ПЛАТЬЕ Без товарного знака жен. Артикул 379 цвет бордо р. 52</v>
      </c>
      <c r="C85" s="69" t="s">
        <v>1690</v>
      </c>
      <c r="D85" s="70" t="s">
        <v>55</v>
      </c>
      <c r="E85" s="71">
        <v>379</v>
      </c>
      <c r="F85" s="70" t="s">
        <v>1691</v>
      </c>
      <c r="G85" s="75" t="s">
        <v>1696</v>
      </c>
      <c r="H85" s="70" t="s">
        <v>1692</v>
      </c>
      <c r="I85" s="70" t="s">
        <v>59</v>
      </c>
      <c r="J85" s="70">
        <v>52</v>
      </c>
      <c r="K85" s="71" t="s">
        <v>1693</v>
      </c>
      <c r="L85" s="71" t="s">
        <v>1693</v>
      </c>
      <c r="M85" s="73">
        <v>6204430000</v>
      </c>
      <c r="N85" s="7"/>
      <c r="O85" s="74" t="s">
        <v>94</v>
      </c>
      <c r="P85">
        <v>1</v>
      </c>
    </row>
    <row r="86" spans="1:16" customFormat="1" ht="15">
      <c r="A86" s="68" t="str">
        <f>LEFT(M86,4)</f>
        <v>6204</v>
      </c>
      <c r="B86" s="68" t="str">
        <f t="shared" si="2"/>
        <v>ПЛАТЬЕ Без товарного знака жен. Артикул 379 цвет ТЕРРАКОТОВЫЙ р. 54</v>
      </c>
      <c r="C86" s="69" t="s">
        <v>1690</v>
      </c>
      <c r="D86" s="70" t="s">
        <v>55</v>
      </c>
      <c r="E86" s="71">
        <v>379</v>
      </c>
      <c r="F86" s="70" t="s">
        <v>1691</v>
      </c>
      <c r="G86" s="72" t="s">
        <v>315</v>
      </c>
      <c r="H86" s="70" t="s">
        <v>1692</v>
      </c>
      <c r="I86" s="70" t="s">
        <v>59</v>
      </c>
      <c r="J86" s="70">
        <v>54</v>
      </c>
      <c r="K86" s="71" t="s">
        <v>1693</v>
      </c>
      <c r="L86" s="71" t="s">
        <v>1693</v>
      </c>
      <c r="M86" s="73">
        <v>6204430000</v>
      </c>
      <c r="N86" s="7"/>
      <c r="O86" s="74" t="s">
        <v>94</v>
      </c>
      <c r="P86">
        <v>1</v>
      </c>
    </row>
    <row r="87" spans="1:16" customFormat="1" ht="15">
      <c r="A87" s="68" t="str">
        <f>LEFT(M87,4)</f>
        <v>6204</v>
      </c>
      <c r="B87" s="68" t="str">
        <f t="shared" si="2"/>
        <v>ПЛАТЬЕ Без товарного знака жен. Артикул 457 цвет баклажановый р. 52</v>
      </c>
      <c r="C87" s="69" t="s">
        <v>1690</v>
      </c>
      <c r="D87" s="70" t="s">
        <v>55</v>
      </c>
      <c r="E87" s="71">
        <v>457</v>
      </c>
      <c r="F87" s="70" t="s">
        <v>1691</v>
      </c>
      <c r="G87" s="75" t="s">
        <v>1701</v>
      </c>
      <c r="H87" s="70" t="s">
        <v>1692</v>
      </c>
      <c r="I87" s="70" t="s">
        <v>59</v>
      </c>
      <c r="J87" s="70">
        <v>52</v>
      </c>
      <c r="K87" s="71" t="s">
        <v>1693</v>
      </c>
      <c r="L87" s="71" t="s">
        <v>1693</v>
      </c>
      <c r="M87" s="73">
        <v>6204430000</v>
      </c>
      <c r="N87" s="7"/>
      <c r="O87" s="74" t="s">
        <v>94</v>
      </c>
      <c r="P87">
        <v>1</v>
      </c>
    </row>
    <row r="88" spans="1:16" customFormat="1" ht="15">
      <c r="A88" s="68" t="str">
        <f>LEFT(M88,4)</f>
        <v>6204</v>
      </c>
      <c r="B88" s="68" t="str">
        <f t="shared" si="2"/>
        <v>ПЛАТЬЕ Без товарного знака жен. Артикул 457 цвет баклажановый р. 54</v>
      </c>
      <c r="C88" s="69" t="s">
        <v>1690</v>
      </c>
      <c r="D88" s="70" t="s">
        <v>55</v>
      </c>
      <c r="E88" s="71">
        <v>457</v>
      </c>
      <c r="F88" s="70" t="s">
        <v>1691</v>
      </c>
      <c r="G88" s="75" t="s">
        <v>1701</v>
      </c>
      <c r="H88" s="70" t="s">
        <v>1692</v>
      </c>
      <c r="I88" s="70" t="s">
        <v>59</v>
      </c>
      <c r="J88" s="70">
        <v>54</v>
      </c>
      <c r="K88" s="71" t="s">
        <v>1693</v>
      </c>
      <c r="L88" s="71" t="s">
        <v>1693</v>
      </c>
      <c r="M88" s="73">
        <v>6204430000</v>
      </c>
      <c r="N88" s="7"/>
      <c r="O88" s="74" t="s">
        <v>94</v>
      </c>
      <c r="P88">
        <v>1</v>
      </c>
    </row>
    <row r="89" spans="1:16" customFormat="1" ht="15">
      <c r="A89" s="68" t="str">
        <f>LEFT(M89,4)</f>
        <v>6204</v>
      </c>
      <c r="B89" s="68" t="str">
        <f t="shared" si="2"/>
        <v>ПЛАТЬЕ Без товарного знака жен. Артикул 457 цвет баклажановый р. 58</v>
      </c>
      <c r="C89" s="69" t="s">
        <v>1690</v>
      </c>
      <c r="D89" s="70" t="s">
        <v>55</v>
      </c>
      <c r="E89" s="71">
        <v>457</v>
      </c>
      <c r="F89" s="70" t="s">
        <v>1691</v>
      </c>
      <c r="G89" s="75" t="s">
        <v>1701</v>
      </c>
      <c r="H89" s="70" t="s">
        <v>1692</v>
      </c>
      <c r="I89" s="70" t="s">
        <v>59</v>
      </c>
      <c r="J89" s="70">
        <v>58</v>
      </c>
      <c r="K89" s="71" t="s">
        <v>1693</v>
      </c>
      <c r="L89" s="71" t="s">
        <v>1693</v>
      </c>
      <c r="M89" s="73">
        <v>6204430000</v>
      </c>
      <c r="N89" s="7"/>
      <c r="O89" s="74" t="s">
        <v>94</v>
      </c>
      <c r="P89">
        <v>1</v>
      </c>
    </row>
    <row r="90" spans="1:16" customFormat="1" ht="15">
      <c r="A90" s="68" t="str">
        <f>LEFT(M90,4)</f>
        <v>6204</v>
      </c>
      <c r="B90" s="68" t="str">
        <f t="shared" si="2"/>
        <v>ПЛАТЬЕ Без товарного знака жен. Артикул 17625 цвет баклажановый р. 52</v>
      </c>
      <c r="C90" s="69" t="s">
        <v>1690</v>
      </c>
      <c r="D90" s="70" t="s">
        <v>55</v>
      </c>
      <c r="E90" s="71">
        <v>17625</v>
      </c>
      <c r="F90" s="70" t="s">
        <v>1691</v>
      </c>
      <c r="G90" s="75" t="s">
        <v>1701</v>
      </c>
      <c r="H90" s="70" t="s">
        <v>1692</v>
      </c>
      <c r="I90" s="70" t="s">
        <v>59</v>
      </c>
      <c r="J90" s="70">
        <v>52</v>
      </c>
      <c r="K90" s="71" t="s">
        <v>1693</v>
      </c>
      <c r="L90" s="71" t="s">
        <v>1693</v>
      </c>
      <c r="M90" s="73">
        <v>6204430000</v>
      </c>
      <c r="N90" s="7"/>
      <c r="O90" s="74" t="s">
        <v>94</v>
      </c>
      <c r="P90">
        <v>1</v>
      </c>
    </row>
    <row r="91" spans="1:16" customFormat="1" ht="15">
      <c r="A91" s="68" t="str">
        <f>LEFT(M91,4)</f>
        <v>6204</v>
      </c>
      <c r="B91" s="68" t="str">
        <f t="shared" si="2"/>
        <v>ПЛАТЬЕ Без товарного знака жен. Артикул 17625 цвет ТЕМНО-СИНИЙ р. 54</v>
      </c>
      <c r="C91" s="69" t="s">
        <v>1690</v>
      </c>
      <c r="D91" s="70" t="s">
        <v>55</v>
      </c>
      <c r="E91" s="71">
        <v>17625</v>
      </c>
      <c r="F91" s="70" t="s">
        <v>1691</v>
      </c>
      <c r="G91" s="72" t="s">
        <v>309</v>
      </c>
      <c r="H91" s="70" t="s">
        <v>1692</v>
      </c>
      <c r="I91" s="70" t="s">
        <v>59</v>
      </c>
      <c r="J91" s="70">
        <v>54</v>
      </c>
      <c r="K91" s="71" t="s">
        <v>1693</v>
      </c>
      <c r="L91" s="71" t="s">
        <v>1693</v>
      </c>
      <c r="M91" s="73">
        <v>6204430000</v>
      </c>
      <c r="N91" s="7"/>
      <c r="O91" s="74" t="s">
        <v>94</v>
      </c>
      <c r="P91">
        <v>1</v>
      </c>
    </row>
    <row r="92" spans="1:16" customFormat="1" ht="15">
      <c r="A92" s="68" t="str">
        <f>LEFT(M92,4)</f>
        <v>6204</v>
      </c>
      <c r="B92" s="68" t="str">
        <f t="shared" si="2"/>
        <v>ПЛАТЬЕ Без товарного знака жен. Артикул 1772 цвет фуксия р. 52</v>
      </c>
      <c r="C92" s="69" t="s">
        <v>1690</v>
      </c>
      <c r="D92" s="70" t="s">
        <v>55</v>
      </c>
      <c r="E92" s="71">
        <v>1772</v>
      </c>
      <c r="F92" s="70" t="s">
        <v>1691</v>
      </c>
      <c r="G92" s="72" t="s">
        <v>1702</v>
      </c>
      <c r="H92" s="70" t="s">
        <v>1692</v>
      </c>
      <c r="I92" s="70" t="s">
        <v>59</v>
      </c>
      <c r="J92" s="70">
        <v>52</v>
      </c>
      <c r="K92" s="71" t="s">
        <v>1693</v>
      </c>
      <c r="L92" s="71" t="s">
        <v>1693</v>
      </c>
      <c r="M92" s="73">
        <v>6204430000</v>
      </c>
      <c r="N92" s="7"/>
      <c r="O92" s="74" t="s">
        <v>94</v>
      </c>
      <c r="P92">
        <v>1</v>
      </c>
    </row>
    <row r="93" spans="1:16" customFormat="1" ht="15">
      <c r="A93" s="68" t="str">
        <f>LEFT(M93,4)</f>
        <v>6204</v>
      </c>
      <c r="B93" s="68" t="str">
        <f t="shared" si="2"/>
        <v>ПЛАТЬЕ Без товарного знака жен. Артикул 3500 цвет РАЗНОЦВЕТНЫЙ р. 50</v>
      </c>
      <c r="C93" s="69" t="s">
        <v>1690</v>
      </c>
      <c r="D93" s="70" t="s">
        <v>55</v>
      </c>
      <c r="E93" s="71">
        <v>3500</v>
      </c>
      <c r="F93" s="70" t="s">
        <v>1691</v>
      </c>
      <c r="G93" s="72" t="s">
        <v>229</v>
      </c>
      <c r="H93" s="70" t="s">
        <v>1692</v>
      </c>
      <c r="I93" s="70" t="s">
        <v>59</v>
      </c>
      <c r="J93" s="70">
        <v>50</v>
      </c>
      <c r="K93" s="71" t="s">
        <v>1693</v>
      </c>
      <c r="L93" s="71" t="s">
        <v>1693</v>
      </c>
      <c r="M93" s="73">
        <v>6204430000</v>
      </c>
      <c r="N93" s="7"/>
      <c r="O93" s="74" t="s">
        <v>94</v>
      </c>
      <c r="P93">
        <v>1</v>
      </c>
    </row>
    <row r="94" spans="1:16" customFormat="1" ht="15">
      <c r="A94" s="68" t="str">
        <f>LEFT(M94,4)</f>
        <v>6204</v>
      </c>
      <c r="B94" s="68" t="str">
        <f t="shared" si="2"/>
        <v>ПЛАТЬЕ Без товарного знака жен. Артикул 3500 цвет РАЗНОЦВЕТНЫЙ р. 52</v>
      </c>
      <c r="C94" s="69" t="s">
        <v>1690</v>
      </c>
      <c r="D94" s="70" t="s">
        <v>55</v>
      </c>
      <c r="E94" s="71">
        <v>3500</v>
      </c>
      <c r="F94" s="70" t="s">
        <v>1691</v>
      </c>
      <c r="G94" s="72" t="s">
        <v>229</v>
      </c>
      <c r="H94" s="70" t="s">
        <v>1692</v>
      </c>
      <c r="I94" s="70" t="s">
        <v>59</v>
      </c>
      <c r="J94" s="70">
        <v>52</v>
      </c>
      <c r="K94" s="71" t="s">
        <v>1693</v>
      </c>
      <c r="L94" s="71" t="s">
        <v>1693</v>
      </c>
      <c r="M94" s="73">
        <v>6204430000</v>
      </c>
      <c r="N94" s="7"/>
      <c r="O94" s="74" t="s">
        <v>94</v>
      </c>
      <c r="P94">
        <v>1</v>
      </c>
    </row>
    <row r="95" spans="1:16" customFormat="1" ht="15">
      <c r="A95" s="68" t="str">
        <f>LEFT(M95,4)</f>
        <v>6204</v>
      </c>
      <c r="B95" s="68" t="str">
        <f t="shared" si="2"/>
        <v>ПЛАТЬЕ Без товарного знака жен. Артикул 3500 цвет РАЗНОЦВЕТНЫЙ р. 54</v>
      </c>
      <c r="C95" s="69" t="s">
        <v>1690</v>
      </c>
      <c r="D95" s="70" t="s">
        <v>55</v>
      </c>
      <c r="E95" s="71">
        <v>3500</v>
      </c>
      <c r="F95" s="70" t="s">
        <v>1691</v>
      </c>
      <c r="G95" s="72" t="s">
        <v>229</v>
      </c>
      <c r="H95" s="70" t="s">
        <v>1692</v>
      </c>
      <c r="I95" s="70" t="s">
        <v>59</v>
      </c>
      <c r="J95" s="70">
        <v>54</v>
      </c>
      <c r="K95" s="71" t="s">
        <v>1693</v>
      </c>
      <c r="L95" s="71" t="s">
        <v>1693</v>
      </c>
      <c r="M95" s="73">
        <v>6204430000</v>
      </c>
      <c r="N95" s="7"/>
      <c r="O95" s="74" t="s">
        <v>94</v>
      </c>
      <c r="P95">
        <v>1</v>
      </c>
    </row>
    <row r="96" spans="1:16" customFormat="1" ht="15">
      <c r="A96" s="68" t="str">
        <f>LEFT(M96,4)</f>
        <v>6204</v>
      </c>
      <c r="B96" s="68" t="str">
        <f t="shared" si="2"/>
        <v>ПЛАТЬЕ Без товарного знака жен. Артикул 8990 цвет пудра р. 52</v>
      </c>
      <c r="C96" s="69" t="s">
        <v>1690</v>
      </c>
      <c r="D96" s="70" t="s">
        <v>55</v>
      </c>
      <c r="E96" s="71">
        <v>8990</v>
      </c>
      <c r="F96" s="70" t="s">
        <v>1691</v>
      </c>
      <c r="G96" s="75" t="s">
        <v>1705</v>
      </c>
      <c r="H96" s="70" t="s">
        <v>1692</v>
      </c>
      <c r="I96" s="70" t="s">
        <v>59</v>
      </c>
      <c r="J96" s="70">
        <v>52</v>
      </c>
      <c r="K96" s="71" t="s">
        <v>1693</v>
      </c>
      <c r="L96" s="71" t="s">
        <v>1693</v>
      </c>
      <c r="M96" s="73">
        <v>6204430000</v>
      </c>
      <c r="N96" s="7"/>
      <c r="O96" s="74" t="s">
        <v>94</v>
      </c>
      <c r="P96">
        <v>1</v>
      </c>
    </row>
    <row r="97" spans="1:16" customFormat="1" ht="15">
      <c r="A97" s="68" t="str">
        <f>LEFT(M97,4)</f>
        <v>6204</v>
      </c>
      <c r="B97" s="68" t="str">
        <f t="shared" si="2"/>
        <v>ПЛАТЬЕ Без товарного знака жен. Артикул 8990 цвет синий р. 52</v>
      </c>
      <c r="C97" s="69" t="s">
        <v>1690</v>
      </c>
      <c r="D97" s="70" t="s">
        <v>55</v>
      </c>
      <c r="E97" s="71">
        <v>8990</v>
      </c>
      <c r="F97" s="70" t="s">
        <v>1691</v>
      </c>
      <c r="G97" s="72" t="s">
        <v>1695</v>
      </c>
      <c r="H97" s="70" t="s">
        <v>1692</v>
      </c>
      <c r="I97" s="70" t="s">
        <v>59</v>
      </c>
      <c r="J97" s="70">
        <v>52</v>
      </c>
      <c r="K97" s="71" t="s">
        <v>1693</v>
      </c>
      <c r="L97" s="71" t="s">
        <v>1693</v>
      </c>
      <c r="M97" s="73">
        <v>6204430000</v>
      </c>
      <c r="N97" s="7"/>
      <c r="O97" s="74" t="s">
        <v>94</v>
      </c>
      <c r="P97">
        <v>1</v>
      </c>
    </row>
    <row r="98" spans="1:16" customFormat="1" ht="15">
      <c r="A98" s="68" t="str">
        <f>LEFT(M98,4)</f>
        <v>6204</v>
      </c>
      <c r="B98" s="68" t="str">
        <f t="shared" si="2"/>
        <v>ПЛАТЬЕ Без товарного знака жен. Артикул 613 цвет красный р. 54</v>
      </c>
      <c r="C98" s="69" t="s">
        <v>1690</v>
      </c>
      <c r="D98" s="70" t="s">
        <v>55</v>
      </c>
      <c r="E98" s="71">
        <v>613</v>
      </c>
      <c r="F98" s="70" t="s">
        <v>1691</v>
      </c>
      <c r="G98" s="72" t="s">
        <v>1694</v>
      </c>
      <c r="H98" s="70" t="s">
        <v>1692</v>
      </c>
      <c r="I98" s="70" t="s">
        <v>59</v>
      </c>
      <c r="J98" s="70">
        <v>54</v>
      </c>
      <c r="K98" s="71" t="s">
        <v>1693</v>
      </c>
      <c r="L98" s="71" t="s">
        <v>1693</v>
      </c>
      <c r="M98" s="73">
        <v>6204430000</v>
      </c>
      <c r="N98" s="7"/>
      <c r="O98" s="74" t="s">
        <v>94</v>
      </c>
      <c r="P98">
        <v>1</v>
      </c>
    </row>
    <row r="99" spans="1:16" customFormat="1" ht="15">
      <c r="A99" s="68" t="str">
        <f>LEFT(M99,4)</f>
        <v>6204</v>
      </c>
      <c r="B99" s="68" t="str">
        <f t="shared" si="2"/>
        <v>ПЛАТЬЕ Без товарного знака жен. Артикул 613 цвет красный р. 58</v>
      </c>
      <c r="C99" s="69" t="s">
        <v>1690</v>
      </c>
      <c r="D99" s="70" t="s">
        <v>55</v>
      </c>
      <c r="E99" s="71">
        <v>613</v>
      </c>
      <c r="F99" s="70" t="s">
        <v>1691</v>
      </c>
      <c r="G99" s="72" t="s">
        <v>1694</v>
      </c>
      <c r="H99" s="70" t="s">
        <v>1692</v>
      </c>
      <c r="I99" s="70" t="s">
        <v>59</v>
      </c>
      <c r="J99" s="70">
        <v>58</v>
      </c>
      <c r="K99" s="71" t="s">
        <v>1693</v>
      </c>
      <c r="L99" s="71" t="s">
        <v>1693</v>
      </c>
      <c r="M99" s="73">
        <v>6204430000</v>
      </c>
      <c r="N99" s="7"/>
      <c r="O99" s="74" t="s">
        <v>94</v>
      </c>
      <c r="P99">
        <v>1</v>
      </c>
    </row>
    <row r="100" spans="1:16" customFormat="1" ht="15">
      <c r="A100" s="68" t="str">
        <f>LEFT(M100,4)</f>
        <v>6204</v>
      </c>
      <c r="B100" s="68" t="str">
        <f t="shared" si="2"/>
        <v>ПЛАТЬЕ Без товарного знака жен. Артикул 1051 цвет электрик р. 54</v>
      </c>
      <c r="C100" s="69" t="s">
        <v>1690</v>
      </c>
      <c r="D100" s="70" t="s">
        <v>55</v>
      </c>
      <c r="E100" s="71">
        <v>1051</v>
      </c>
      <c r="F100" s="70" t="s">
        <v>1691</v>
      </c>
      <c r="G100" s="72" t="s">
        <v>1699</v>
      </c>
      <c r="H100" s="70" t="s">
        <v>1692</v>
      </c>
      <c r="I100" s="70" t="s">
        <v>59</v>
      </c>
      <c r="J100" s="70">
        <v>54</v>
      </c>
      <c r="K100" s="71" t="s">
        <v>1706</v>
      </c>
      <c r="L100" s="71" t="s">
        <v>1706</v>
      </c>
      <c r="M100" s="73">
        <v>6204440000</v>
      </c>
      <c r="N100" s="7"/>
      <c r="O100" s="74" t="s">
        <v>94</v>
      </c>
      <c r="P100">
        <v>1</v>
      </c>
    </row>
    <row r="101" spans="1:16" customFormat="1" ht="15">
      <c r="A101" s="68" t="str">
        <f>LEFT(M101,4)</f>
        <v>6204</v>
      </c>
      <c r="B101" s="68" t="str">
        <f t="shared" si="2"/>
        <v>ПЛАТЬЕ Без товарного знака жен. Артикул 1051 цвет электрик р. 62</v>
      </c>
      <c r="C101" s="69" t="s">
        <v>1690</v>
      </c>
      <c r="D101" s="70" t="s">
        <v>55</v>
      </c>
      <c r="E101" s="71">
        <v>1051</v>
      </c>
      <c r="F101" s="70" t="s">
        <v>1691</v>
      </c>
      <c r="G101" s="72" t="s">
        <v>1699</v>
      </c>
      <c r="H101" s="70" t="s">
        <v>1692</v>
      </c>
      <c r="I101" s="70" t="s">
        <v>59</v>
      </c>
      <c r="J101" s="70">
        <v>62</v>
      </c>
      <c r="K101" s="71" t="s">
        <v>1706</v>
      </c>
      <c r="L101" s="71" t="s">
        <v>1706</v>
      </c>
      <c r="M101" s="73">
        <v>6204440000</v>
      </c>
      <c r="N101" s="7"/>
      <c r="O101" s="74" t="s">
        <v>94</v>
      </c>
      <c r="P101">
        <v>1</v>
      </c>
    </row>
    <row r="102" spans="1:16" customFormat="1" ht="15">
      <c r="A102" s="68" t="str">
        <f>LEFT(M102,4)</f>
        <v>6204</v>
      </c>
      <c r="B102" s="68" t="str">
        <f t="shared" si="2"/>
        <v>ПЛАТЬЕ Без товарного знака жен. Артикул 1051 цвет изумрудный р. 52</v>
      </c>
      <c r="C102" s="69" t="s">
        <v>1690</v>
      </c>
      <c r="D102" s="70" t="s">
        <v>55</v>
      </c>
      <c r="E102" s="71">
        <v>1051</v>
      </c>
      <c r="F102" s="70" t="s">
        <v>1691</v>
      </c>
      <c r="G102" s="72" t="s">
        <v>1698</v>
      </c>
      <c r="H102" s="70" t="s">
        <v>1692</v>
      </c>
      <c r="I102" s="70" t="s">
        <v>59</v>
      </c>
      <c r="J102" s="70">
        <v>52</v>
      </c>
      <c r="K102" s="71" t="s">
        <v>1706</v>
      </c>
      <c r="L102" s="71" t="s">
        <v>1706</v>
      </c>
      <c r="M102" s="73">
        <v>6204440000</v>
      </c>
      <c r="N102" s="7"/>
      <c r="O102" s="74" t="s">
        <v>94</v>
      </c>
      <c r="P102">
        <v>1</v>
      </c>
    </row>
    <row r="103" spans="1:16" customFormat="1" ht="15">
      <c r="A103" s="68" t="str">
        <f>LEFT(M103,4)</f>
        <v>6204</v>
      </c>
      <c r="B103" s="68" t="str">
        <f t="shared" si="2"/>
        <v>ПЛАТЬЕ Без товарного знака жен. Артикул 1051 цвет изумрудный р. 54</v>
      </c>
      <c r="C103" s="69" t="s">
        <v>1690</v>
      </c>
      <c r="D103" s="70" t="s">
        <v>55</v>
      </c>
      <c r="E103" s="71">
        <v>1051</v>
      </c>
      <c r="F103" s="70" t="s">
        <v>1691</v>
      </c>
      <c r="G103" s="72" t="s">
        <v>1698</v>
      </c>
      <c r="H103" s="70" t="s">
        <v>1692</v>
      </c>
      <c r="I103" s="70" t="s">
        <v>59</v>
      </c>
      <c r="J103" s="70">
        <v>54</v>
      </c>
      <c r="K103" s="71" t="s">
        <v>1706</v>
      </c>
      <c r="L103" s="71" t="s">
        <v>1706</v>
      </c>
      <c r="M103" s="73">
        <v>6204440000</v>
      </c>
      <c r="N103" s="7"/>
      <c r="O103" s="74" t="s">
        <v>94</v>
      </c>
      <c r="P103">
        <v>1</v>
      </c>
    </row>
    <row r="104" spans="1:16" customFormat="1" ht="15">
      <c r="A104" s="68" t="str">
        <f>LEFT(M104,4)</f>
        <v>6204</v>
      </c>
      <c r="B104" s="68" t="str">
        <f t="shared" si="2"/>
        <v>ПЛАТЬЕ Без товарного знака жен. Артикул 1051 цвет пудра р. 58</v>
      </c>
      <c r="C104" s="69" t="s">
        <v>1690</v>
      </c>
      <c r="D104" s="70" t="s">
        <v>55</v>
      </c>
      <c r="E104" s="71">
        <v>1051</v>
      </c>
      <c r="F104" s="70" t="s">
        <v>1691</v>
      </c>
      <c r="G104" s="75" t="s">
        <v>1705</v>
      </c>
      <c r="H104" s="70" t="s">
        <v>1692</v>
      </c>
      <c r="I104" s="70" t="s">
        <v>59</v>
      </c>
      <c r="J104" s="70">
        <v>58</v>
      </c>
      <c r="K104" s="71" t="s">
        <v>1706</v>
      </c>
      <c r="L104" s="71" t="s">
        <v>1706</v>
      </c>
      <c r="M104" s="73">
        <v>6204440000</v>
      </c>
      <c r="N104" s="7"/>
      <c r="O104" s="74" t="s">
        <v>94</v>
      </c>
      <c r="P104">
        <v>1</v>
      </c>
    </row>
    <row r="105" spans="1:16" customFormat="1" ht="15">
      <c r="A105" s="68" t="str">
        <f>LEFT(M105,4)</f>
        <v>6204</v>
      </c>
      <c r="B105" s="68" t="str">
        <f t="shared" si="2"/>
        <v>ПЛАТЬЕ Без товарного знака жен. Артикул 1051 цвет коралловый р. 64</v>
      </c>
      <c r="C105" s="69" t="s">
        <v>1690</v>
      </c>
      <c r="D105" s="70" t="s">
        <v>55</v>
      </c>
      <c r="E105" s="71">
        <v>1051</v>
      </c>
      <c r="F105" s="70" t="s">
        <v>1691</v>
      </c>
      <c r="G105" s="75" t="s">
        <v>1707</v>
      </c>
      <c r="H105" s="70" t="s">
        <v>1692</v>
      </c>
      <c r="I105" s="70" t="s">
        <v>59</v>
      </c>
      <c r="J105" s="70">
        <v>64</v>
      </c>
      <c r="K105" s="71" t="s">
        <v>1706</v>
      </c>
      <c r="L105" s="71" t="s">
        <v>1706</v>
      </c>
      <c r="M105" s="73">
        <v>6204440000</v>
      </c>
      <c r="N105" s="7"/>
      <c r="O105" s="74" t="s">
        <v>94</v>
      </c>
      <c r="P105">
        <v>1</v>
      </c>
    </row>
    <row r="106" spans="1:16" customFormat="1" ht="15">
      <c r="A106" s="68" t="str">
        <f>LEFT(M106,4)</f>
        <v>6204</v>
      </c>
      <c r="B106" s="68" t="str">
        <f t="shared" si="2"/>
        <v>ПЛАТЬЕ Без товарного знака жен. Артикул 1051 цвет красный р. 52</v>
      </c>
      <c r="C106" s="69" t="s">
        <v>1690</v>
      </c>
      <c r="D106" s="70" t="s">
        <v>55</v>
      </c>
      <c r="E106" s="71">
        <v>1051</v>
      </c>
      <c r="F106" s="70" t="s">
        <v>1691</v>
      </c>
      <c r="G106" s="72" t="s">
        <v>1694</v>
      </c>
      <c r="H106" s="70" t="s">
        <v>1692</v>
      </c>
      <c r="I106" s="70" t="s">
        <v>59</v>
      </c>
      <c r="J106" s="70">
        <v>52</v>
      </c>
      <c r="K106" s="71" t="s">
        <v>1706</v>
      </c>
      <c r="L106" s="71" t="s">
        <v>1706</v>
      </c>
      <c r="M106" s="73">
        <v>6204440000</v>
      </c>
      <c r="N106" s="7"/>
      <c r="O106" s="74" t="s">
        <v>94</v>
      </c>
      <c r="P106">
        <v>1</v>
      </c>
    </row>
    <row r="107" spans="1:16" customFormat="1" ht="15">
      <c r="A107" s="68" t="str">
        <f>LEFT(M107,4)</f>
        <v>6204</v>
      </c>
      <c r="B107" s="68" t="str">
        <f t="shared" si="2"/>
        <v>ПЛАТЬЕ Без товарного знака жен. Артикул 1051 цвет голубой р. 60</v>
      </c>
      <c r="C107" s="69" t="s">
        <v>1690</v>
      </c>
      <c r="D107" s="70" t="s">
        <v>55</v>
      </c>
      <c r="E107" s="71">
        <v>1051</v>
      </c>
      <c r="F107" s="70" t="s">
        <v>1691</v>
      </c>
      <c r="G107" s="72" t="s">
        <v>1708</v>
      </c>
      <c r="H107" s="70" t="s">
        <v>1692</v>
      </c>
      <c r="I107" s="70" t="s">
        <v>59</v>
      </c>
      <c r="J107" s="70">
        <v>60</v>
      </c>
      <c r="K107" s="71" t="s">
        <v>1706</v>
      </c>
      <c r="L107" s="71" t="s">
        <v>1706</v>
      </c>
      <c r="M107" s="73">
        <v>6204440000</v>
      </c>
      <c r="N107" s="7"/>
      <c r="O107" s="74" t="s">
        <v>94</v>
      </c>
      <c r="P107">
        <v>1</v>
      </c>
    </row>
    <row r="108" spans="1:16" customFormat="1" ht="15.75">
      <c r="A108" s="68" t="str">
        <f>LEFT(M108,4)</f>
        <v>6204</v>
      </c>
      <c r="B108" s="68" t="str">
        <f t="shared" si="2"/>
        <v>ПЛАТЬЕ Без товарного знака жен. Артикул 0501 цвет изумрудный р. 52</v>
      </c>
      <c r="C108" s="69" t="s">
        <v>1690</v>
      </c>
      <c r="D108" s="70" t="s">
        <v>55</v>
      </c>
      <c r="E108" s="77" t="s">
        <v>1709</v>
      </c>
      <c r="F108" s="70" t="s">
        <v>1691</v>
      </c>
      <c r="G108" s="72" t="s">
        <v>1698</v>
      </c>
      <c r="H108" s="70" t="s">
        <v>1692</v>
      </c>
      <c r="I108" s="70" t="s">
        <v>59</v>
      </c>
      <c r="J108" s="70">
        <v>52</v>
      </c>
      <c r="K108" s="71" t="s">
        <v>1706</v>
      </c>
      <c r="L108" s="71" t="s">
        <v>1706</v>
      </c>
      <c r="M108" s="73">
        <v>6204440000</v>
      </c>
      <c r="N108" s="7"/>
      <c r="O108" s="74" t="s">
        <v>94</v>
      </c>
      <c r="P108">
        <v>1</v>
      </c>
    </row>
    <row r="109" spans="1:16" customFormat="1" ht="15.75">
      <c r="A109" s="68" t="str">
        <f>LEFT(M109,4)</f>
        <v>6204</v>
      </c>
      <c r="B109" s="68" t="str">
        <f t="shared" si="2"/>
        <v>ПЛАТЬЕ Без товарного знака жен. Артикул 0501 цвет бирюзовый р. 52</v>
      </c>
      <c r="C109" s="69" t="s">
        <v>1690</v>
      </c>
      <c r="D109" s="70" t="s">
        <v>55</v>
      </c>
      <c r="E109" s="77" t="s">
        <v>1709</v>
      </c>
      <c r="F109" s="70" t="s">
        <v>1691</v>
      </c>
      <c r="G109" s="75" t="s">
        <v>1697</v>
      </c>
      <c r="H109" s="70" t="s">
        <v>1692</v>
      </c>
      <c r="I109" s="70" t="s">
        <v>59</v>
      </c>
      <c r="J109" s="70">
        <v>52</v>
      </c>
      <c r="K109" s="71" t="s">
        <v>1706</v>
      </c>
      <c r="L109" s="71" t="s">
        <v>1706</v>
      </c>
      <c r="M109" s="73">
        <v>6204440000</v>
      </c>
      <c r="N109" s="7"/>
      <c r="O109" s="74" t="s">
        <v>94</v>
      </c>
      <c r="P109">
        <v>1</v>
      </c>
    </row>
    <row r="110" spans="1:16" customFormat="1" ht="15.75">
      <c r="A110" s="68" t="str">
        <f>LEFT(M110,4)</f>
        <v>6204</v>
      </c>
      <c r="B110" s="68" t="str">
        <f t="shared" si="2"/>
        <v>ПЛАТЬЕ Без товарного знака жен. Артикул 0501 цвет бирюзовый р. 54</v>
      </c>
      <c r="C110" s="69" t="s">
        <v>1690</v>
      </c>
      <c r="D110" s="70" t="s">
        <v>55</v>
      </c>
      <c r="E110" s="77" t="s">
        <v>1709</v>
      </c>
      <c r="F110" s="70" t="s">
        <v>1691</v>
      </c>
      <c r="G110" s="75" t="s">
        <v>1697</v>
      </c>
      <c r="H110" s="70" t="s">
        <v>1692</v>
      </c>
      <c r="I110" s="70" t="s">
        <v>59</v>
      </c>
      <c r="J110" s="70">
        <v>54</v>
      </c>
      <c r="K110" s="71" t="s">
        <v>1706</v>
      </c>
      <c r="L110" s="71" t="s">
        <v>1706</v>
      </c>
      <c r="M110" s="73">
        <v>6204440000</v>
      </c>
      <c r="N110" s="7"/>
      <c r="O110" s="74" t="s">
        <v>94</v>
      </c>
      <c r="P110">
        <v>1</v>
      </c>
    </row>
    <row r="111" spans="1:16" customFormat="1" ht="15.75">
      <c r="A111" s="68" t="str">
        <f>LEFT(M111,4)</f>
        <v>6204</v>
      </c>
      <c r="B111" s="68" t="str">
        <f t="shared" si="2"/>
        <v>ПЛАТЬЕ Без товарного знака жен. Артикул 0501 цвет электрик р. 56</v>
      </c>
      <c r="C111" s="69" t="s">
        <v>1690</v>
      </c>
      <c r="D111" s="70" t="s">
        <v>55</v>
      </c>
      <c r="E111" s="77" t="s">
        <v>1709</v>
      </c>
      <c r="F111" s="70" t="s">
        <v>1691</v>
      </c>
      <c r="G111" s="72" t="s">
        <v>1699</v>
      </c>
      <c r="H111" s="70" t="s">
        <v>1692</v>
      </c>
      <c r="I111" s="70" t="s">
        <v>59</v>
      </c>
      <c r="J111" s="70">
        <v>56</v>
      </c>
      <c r="K111" s="71" t="s">
        <v>1706</v>
      </c>
      <c r="L111" s="71" t="s">
        <v>1706</v>
      </c>
      <c r="M111" s="73">
        <v>6204440000</v>
      </c>
      <c r="N111" s="7"/>
      <c r="O111" s="74" t="s">
        <v>94</v>
      </c>
      <c r="P111">
        <v>1</v>
      </c>
    </row>
    <row r="112" spans="1:16" customFormat="1" ht="15.75">
      <c r="A112" s="68" t="str">
        <f>LEFT(M112,4)</f>
        <v>6204</v>
      </c>
      <c r="B112" s="68" t="str">
        <f t="shared" si="2"/>
        <v>ПЛАТЬЕ Без товарного знака жен. Артикул 0501 цвет фиолетовый р. 52</v>
      </c>
      <c r="C112" s="69" t="s">
        <v>1690</v>
      </c>
      <c r="D112" s="70" t="s">
        <v>55</v>
      </c>
      <c r="E112" s="77" t="s">
        <v>1709</v>
      </c>
      <c r="F112" s="70" t="s">
        <v>1691</v>
      </c>
      <c r="G112" s="72" t="s">
        <v>1710</v>
      </c>
      <c r="H112" s="70" t="s">
        <v>1692</v>
      </c>
      <c r="I112" s="70" t="s">
        <v>59</v>
      </c>
      <c r="J112" s="70">
        <v>52</v>
      </c>
      <c r="K112" s="71" t="s">
        <v>1706</v>
      </c>
      <c r="L112" s="71" t="s">
        <v>1706</v>
      </c>
      <c r="M112" s="73">
        <v>6204440000</v>
      </c>
      <c r="N112" s="7"/>
      <c r="O112" s="74" t="s">
        <v>94</v>
      </c>
      <c r="P112">
        <v>1</v>
      </c>
    </row>
    <row r="113" spans="1:16" customFormat="1" ht="15.75">
      <c r="A113" s="68" t="str">
        <f>LEFT(M113,4)</f>
        <v>6204</v>
      </c>
      <c r="B113" s="68" t="str">
        <f t="shared" si="2"/>
        <v>ПЛАТЬЕ Без товарного знака жен. Артикул 0501 цвет фиолетовый р. 54</v>
      </c>
      <c r="C113" s="69" t="s">
        <v>1690</v>
      </c>
      <c r="D113" s="70" t="s">
        <v>55</v>
      </c>
      <c r="E113" s="77" t="s">
        <v>1709</v>
      </c>
      <c r="F113" s="70" t="s">
        <v>1691</v>
      </c>
      <c r="G113" s="72" t="s">
        <v>1710</v>
      </c>
      <c r="H113" s="70" t="s">
        <v>1692</v>
      </c>
      <c r="I113" s="70" t="s">
        <v>59</v>
      </c>
      <c r="J113" s="70">
        <v>54</v>
      </c>
      <c r="K113" s="71" t="s">
        <v>1706</v>
      </c>
      <c r="L113" s="71" t="s">
        <v>1706</v>
      </c>
      <c r="M113" s="73">
        <v>6204440000</v>
      </c>
      <c r="N113" s="7"/>
      <c r="O113" s="74" t="s">
        <v>94</v>
      </c>
      <c r="P113">
        <v>1</v>
      </c>
    </row>
    <row r="114" spans="1:16" customFormat="1" ht="15.75">
      <c r="A114" s="68" t="str">
        <f>LEFT(M114,4)</f>
        <v>6204</v>
      </c>
      <c r="B114" s="68" t="str">
        <f t="shared" si="2"/>
        <v>ПЛАТЬЕ Без товарного знака жен. Артикул 19965 цвет РАЗНОЦВЕТНЫЙ р. 52</v>
      </c>
      <c r="C114" s="69" t="s">
        <v>1690</v>
      </c>
      <c r="D114" s="70" t="s">
        <v>55</v>
      </c>
      <c r="E114" s="77" t="s">
        <v>1711</v>
      </c>
      <c r="F114" s="70" t="s">
        <v>1691</v>
      </c>
      <c r="G114" s="72" t="s">
        <v>229</v>
      </c>
      <c r="H114" s="70" t="s">
        <v>1692</v>
      </c>
      <c r="I114" s="70" t="s">
        <v>59</v>
      </c>
      <c r="J114" s="70">
        <v>52</v>
      </c>
      <c r="K114" s="71" t="s">
        <v>1693</v>
      </c>
      <c r="L114" s="71" t="s">
        <v>1693</v>
      </c>
      <c r="M114" s="73">
        <v>6204430000</v>
      </c>
      <c r="N114" s="7"/>
      <c r="O114" s="74" t="s">
        <v>94</v>
      </c>
      <c r="P114">
        <v>1</v>
      </c>
    </row>
    <row r="115" spans="1:16" customFormat="1" ht="15.75">
      <c r="A115" s="68" t="str">
        <f>LEFT(M115,4)</f>
        <v>6204</v>
      </c>
      <c r="B115" s="68" t="str">
        <f t="shared" si="2"/>
        <v>ПЛАТЬЕ Без товарного знака жен. Артикул 19965 цвет РАЗНОЦВЕТНЫЙ р. 54</v>
      </c>
      <c r="C115" s="69" t="s">
        <v>1690</v>
      </c>
      <c r="D115" s="70" t="s">
        <v>55</v>
      </c>
      <c r="E115" s="77" t="s">
        <v>1711</v>
      </c>
      <c r="F115" s="70" t="s">
        <v>1691</v>
      </c>
      <c r="G115" s="72" t="s">
        <v>229</v>
      </c>
      <c r="H115" s="70" t="s">
        <v>1692</v>
      </c>
      <c r="I115" s="70" t="s">
        <v>59</v>
      </c>
      <c r="J115" s="70">
        <v>54</v>
      </c>
      <c r="K115" s="71" t="s">
        <v>1693</v>
      </c>
      <c r="L115" s="71" t="s">
        <v>1693</v>
      </c>
      <c r="M115" s="73">
        <v>6204430000</v>
      </c>
      <c r="N115" s="7"/>
      <c r="O115" s="74" t="s">
        <v>94</v>
      </c>
      <c r="P115">
        <v>1</v>
      </c>
    </row>
    <row r="116" spans="1:16" customFormat="1" ht="15.75">
      <c r="A116" s="68" t="str">
        <f>LEFT(M116,4)</f>
        <v>6204</v>
      </c>
      <c r="B116" s="68" t="str">
        <f t="shared" si="2"/>
        <v>ПЛАТЬЕ Без товарного знака жен. Артикул 19965 цвет РАЗНОЦВЕТНЫЙ р. 56</v>
      </c>
      <c r="C116" s="69" t="s">
        <v>1690</v>
      </c>
      <c r="D116" s="70" t="s">
        <v>55</v>
      </c>
      <c r="E116" s="77" t="s">
        <v>1711</v>
      </c>
      <c r="F116" s="70" t="s">
        <v>1691</v>
      </c>
      <c r="G116" s="72" t="s">
        <v>229</v>
      </c>
      <c r="H116" s="70" t="s">
        <v>1692</v>
      </c>
      <c r="I116" s="70" t="s">
        <v>59</v>
      </c>
      <c r="J116" s="70">
        <v>56</v>
      </c>
      <c r="K116" s="71" t="s">
        <v>1693</v>
      </c>
      <c r="L116" s="71" t="s">
        <v>1693</v>
      </c>
      <c r="M116" s="73">
        <v>6204430000</v>
      </c>
      <c r="N116" s="7"/>
      <c r="O116" s="74" t="s">
        <v>94</v>
      </c>
      <c r="P116">
        <v>1</v>
      </c>
    </row>
    <row r="117" spans="1:16" customFormat="1" ht="15.75">
      <c r="A117" s="68" t="str">
        <f>LEFT(M117,4)</f>
        <v>6204</v>
      </c>
      <c r="B117" s="68" t="str">
        <f t="shared" si="2"/>
        <v>ПЛАТЬЕ Без товарного знака жен. Артикул 19965 цвет РАЗНОЦВЕТНЫЙ р. 52</v>
      </c>
      <c r="C117" s="69" t="s">
        <v>1690</v>
      </c>
      <c r="D117" s="70" t="s">
        <v>55</v>
      </c>
      <c r="E117" s="77" t="s">
        <v>1711</v>
      </c>
      <c r="F117" s="70" t="s">
        <v>1691</v>
      </c>
      <c r="G117" s="72" t="s">
        <v>229</v>
      </c>
      <c r="H117" s="70" t="s">
        <v>1692</v>
      </c>
      <c r="I117" s="70" t="s">
        <v>59</v>
      </c>
      <c r="J117" s="70">
        <v>52</v>
      </c>
      <c r="K117" s="71" t="s">
        <v>1693</v>
      </c>
      <c r="L117" s="71" t="s">
        <v>1693</v>
      </c>
      <c r="M117" s="73">
        <v>6204430000</v>
      </c>
      <c r="N117" s="7"/>
      <c r="O117" s="74" t="s">
        <v>94</v>
      </c>
      <c r="P117">
        <v>1</v>
      </c>
    </row>
    <row r="118" spans="1:16" customFormat="1" ht="15.75">
      <c r="A118" s="68" t="str">
        <f>LEFT(M118,4)</f>
        <v>6204</v>
      </c>
      <c r="B118" s="68" t="str">
        <f t="shared" si="2"/>
        <v>ПЛАТЬЕ Без товарного знака жен. Артикул 19965 цвет РАЗНОЦВЕТНЫЙ р. 54</v>
      </c>
      <c r="C118" s="69" t="s">
        <v>1690</v>
      </c>
      <c r="D118" s="70" t="s">
        <v>55</v>
      </c>
      <c r="E118" s="77" t="s">
        <v>1711</v>
      </c>
      <c r="F118" s="70" t="s">
        <v>1691</v>
      </c>
      <c r="G118" s="72" t="s">
        <v>229</v>
      </c>
      <c r="H118" s="70" t="s">
        <v>1692</v>
      </c>
      <c r="I118" s="70" t="s">
        <v>59</v>
      </c>
      <c r="J118" s="70">
        <v>54</v>
      </c>
      <c r="K118" s="71" t="s">
        <v>1693</v>
      </c>
      <c r="L118" s="71" t="s">
        <v>1693</v>
      </c>
      <c r="M118" s="73">
        <v>6204430000</v>
      </c>
      <c r="N118" s="7"/>
      <c r="O118" s="74" t="s">
        <v>94</v>
      </c>
      <c r="P118">
        <v>1</v>
      </c>
    </row>
    <row r="119" spans="1:16" customFormat="1" ht="15.75">
      <c r="A119" s="68" t="str">
        <f>LEFT(M119,4)</f>
        <v>6204</v>
      </c>
      <c r="B119" s="68" t="str">
        <f t="shared" si="2"/>
        <v>ПЛАТЬЕ Без товарного знака жен. Артикул 19965 цвет РАЗНОЦВЕТНЫЙ р. 56</v>
      </c>
      <c r="C119" s="69" t="s">
        <v>1690</v>
      </c>
      <c r="D119" s="70" t="s">
        <v>55</v>
      </c>
      <c r="E119" s="77" t="s">
        <v>1711</v>
      </c>
      <c r="F119" s="70" t="s">
        <v>1691</v>
      </c>
      <c r="G119" s="72" t="s">
        <v>229</v>
      </c>
      <c r="H119" s="70" t="s">
        <v>1692</v>
      </c>
      <c r="I119" s="70" t="s">
        <v>59</v>
      </c>
      <c r="J119" s="70">
        <v>56</v>
      </c>
      <c r="K119" s="71" t="s">
        <v>1693</v>
      </c>
      <c r="L119" s="71" t="s">
        <v>1693</v>
      </c>
      <c r="M119" s="73">
        <v>6204430000</v>
      </c>
      <c r="N119" s="7"/>
      <c r="O119" s="74" t="s">
        <v>94</v>
      </c>
      <c r="P119">
        <v>1</v>
      </c>
    </row>
    <row r="120" spans="1:16" customFormat="1" ht="15">
      <c r="A120" s="68" t="str">
        <f>LEFT(M120,4)</f>
        <v>6204</v>
      </c>
      <c r="B120" s="68" t="str">
        <f t="shared" si="2"/>
        <v>ПЛАТЬЕ Без товарного знака жен. Артикул 5095 цвет синий р. 54</v>
      </c>
      <c r="C120" s="69" t="s">
        <v>1690</v>
      </c>
      <c r="D120" s="70" t="s">
        <v>55</v>
      </c>
      <c r="E120" s="71">
        <v>5095</v>
      </c>
      <c r="F120" s="70" t="s">
        <v>1691</v>
      </c>
      <c r="G120" s="72" t="s">
        <v>1695</v>
      </c>
      <c r="H120" s="70" t="s">
        <v>1692</v>
      </c>
      <c r="I120" s="70" t="s">
        <v>59</v>
      </c>
      <c r="J120" s="70">
        <v>54</v>
      </c>
      <c r="K120" s="71" t="s">
        <v>1712</v>
      </c>
      <c r="L120" s="71" t="s">
        <v>1712</v>
      </c>
      <c r="M120" s="73">
        <v>6204430000</v>
      </c>
      <c r="N120" s="7"/>
      <c r="O120" s="74" t="s">
        <v>94</v>
      </c>
      <c r="P120">
        <v>1</v>
      </c>
    </row>
    <row r="121" spans="1:16" customFormat="1" ht="15">
      <c r="A121" s="68" t="str">
        <f>LEFT(M121,4)</f>
        <v>6204</v>
      </c>
      <c r="B121" s="68" t="str">
        <f t="shared" si="2"/>
        <v>ПЛАТЬЕ Без товарного знака жен. Артикул 5095 цвет синий р. 58</v>
      </c>
      <c r="C121" s="69" t="s">
        <v>1690</v>
      </c>
      <c r="D121" s="70" t="s">
        <v>55</v>
      </c>
      <c r="E121" s="71">
        <v>5095</v>
      </c>
      <c r="F121" s="70" t="s">
        <v>1691</v>
      </c>
      <c r="G121" s="72" t="s">
        <v>1695</v>
      </c>
      <c r="H121" s="70" t="s">
        <v>1692</v>
      </c>
      <c r="I121" s="70" t="s">
        <v>59</v>
      </c>
      <c r="J121" s="70">
        <v>58</v>
      </c>
      <c r="K121" s="71" t="s">
        <v>1712</v>
      </c>
      <c r="L121" s="71" t="s">
        <v>1712</v>
      </c>
      <c r="M121" s="73">
        <v>6204430000</v>
      </c>
      <c r="N121" s="7"/>
      <c r="O121" s="74" t="s">
        <v>94</v>
      </c>
      <c r="P121">
        <v>1</v>
      </c>
    </row>
    <row r="122" spans="1:16" customFormat="1" ht="15">
      <c r="A122" s="68" t="str">
        <f>LEFT(M122,4)</f>
        <v>6204</v>
      </c>
      <c r="B122" s="68" t="str">
        <f t="shared" si="2"/>
        <v>ПЛАТЬЕ Без товарного знака жен. Артикул 5095 цвет фиолетовый р. 54</v>
      </c>
      <c r="C122" s="69" t="s">
        <v>1690</v>
      </c>
      <c r="D122" s="70" t="s">
        <v>55</v>
      </c>
      <c r="E122" s="71">
        <v>5095</v>
      </c>
      <c r="F122" s="70" t="s">
        <v>1691</v>
      </c>
      <c r="G122" s="72" t="s">
        <v>1710</v>
      </c>
      <c r="H122" s="70" t="s">
        <v>1692</v>
      </c>
      <c r="I122" s="70" t="s">
        <v>59</v>
      </c>
      <c r="J122" s="70">
        <v>54</v>
      </c>
      <c r="K122" s="71" t="s">
        <v>1712</v>
      </c>
      <c r="L122" s="71" t="s">
        <v>1712</v>
      </c>
      <c r="M122" s="73">
        <v>6204430000</v>
      </c>
      <c r="N122" s="7"/>
      <c r="O122" s="74" t="s">
        <v>94</v>
      </c>
      <c r="P122">
        <v>1</v>
      </c>
    </row>
    <row r="123" spans="1:16" customFormat="1" ht="15">
      <c r="A123" s="68" t="str">
        <f>LEFT(M123,4)</f>
        <v>6204</v>
      </c>
      <c r="B123" s="68" t="str">
        <f t="shared" si="2"/>
        <v>ПЛАТЬЕ Без товарного знака жен. Артикул 2817 цвет электрик р. 56</v>
      </c>
      <c r="C123" s="69" t="s">
        <v>1690</v>
      </c>
      <c r="D123" s="70" t="s">
        <v>55</v>
      </c>
      <c r="E123" s="71">
        <v>2817</v>
      </c>
      <c r="F123" s="70" t="s">
        <v>1691</v>
      </c>
      <c r="G123" s="72" t="s">
        <v>1699</v>
      </c>
      <c r="H123" s="70" t="s">
        <v>1692</v>
      </c>
      <c r="I123" s="70" t="s">
        <v>59</v>
      </c>
      <c r="J123" s="70">
        <v>56</v>
      </c>
      <c r="K123" s="71" t="s">
        <v>1693</v>
      </c>
      <c r="L123" s="71" t="s">
        <v>1693</v>
      </c>
      <c r="M123" s="73">
        <v>6204430000</v>
      </c>
      <c r="N123" s="7"/>
      <c r="O123" s="74" t="s">
        <v>94</v>
      </c>
      <c r="P123">
        <v>1</v>
      </c>
    </row>
    <row r="124" spans="1:16" customFormat="1" ht="15">
      <c r="A124" s="68" t="str">
        <f>LEFT(M124,4)</f>
        <v>6204</v>
      </c>
      <c r="B124" s="68" t="str">
        <f t="shared" si="2"/>
        <v>ПЛАТЬЕ Без товарного знака жен. Артикул 7500 цвет РАЗНОЦВЕТНЫЙ р. 50</v>
      </c>
      <c r="C124" s="69" t="s">
        <v>1690</v>
      </c>
      <c r="D124" s="70" t="s">
        <v>55</v>
      </c>
      <c r="E124" s="71">
        <v>7500</v>
      </c>
      <c r="F124" s="70" t="s">
        <v>1691</v>
      </c>
      <c r="G124" s="72" t="s">
        <v>229</v>
      </c>
      <c r="H124" s="70" t="s">
        <v>1692</v>
      </c>
      <c r="I124" s="70" t="s">
        <v>59</v>
      </c>
      <c r="J124" s="70">
        <v>50</v>
      </c>
      <c r="K124" s="71" t="s">
        <v>1693</v>
      </c>
      <c r="L124" s="71" t="s">
        <v>1693</v>
      </c>
      <c r="M124" s="73">
        <v>6204430000</v>
      </c>
      <c r="N124" s="7"/>
      <c r="O124" s="74" t="s">
        <v>94</v>
      </c>
      <c r="P124">
        <v>1</v>
      </c>
    </row>
    <row r="125" spans="1:16" customFormat="1" ht="15">
      <c r="A125" s="68" t="str">
        <f>LEFT(M125,4)</f>
        <v>6204</v>
      </c>
      <c r="B125" s="68" t="str">
        <f t="shared" si="2"/>
        <v>ПЛАТЬЕ Без товарного знака жен. Артикул 7500 цвет РАЗНОЦВЕТНЫЙ р. 52</v>
      </c>
      <c r="C125" s="69" t="s">
        <v>1690</v>
      </c>
      <c r="D125" s="70" t="s">
        <v>55</v>
      </c>
      <c r="E125" s="71">
        <v>7500</v>
      </c>
      <c r="F125" s="70" t="s">
        <v>1691</v>
      </c>
      <c r="G125" s="72" t="s">
        <v>229</v>
      </c>
      <c r="H125" s="70" t="s">
        <v>1692</v>
      </c>
      <c r="I125" s="70" t="s">
        <v>59</v>
      </c>
      <c r="J125" s="70">
        <v>52</v>
      </c>
      <c r="K125" s="71" t="s">
        <v>1693</v>
      </c>
      <c r="L125" s="71" t="s">
        <v>1693</v>
      </c>
      <c r="M125" s="73">
        <v>6204430000</v>
      </c>
      <c r="N125" s="7"/>
      <c r="O125" s="74" t="s">
        <v>94</v>
      </c>
      <c r="P125">
        <v>1</v>
      </c>
    </row>
    <row r="126" spans="1:16" customFormat="1" ht="15">
      <c r="A126" s="68" t="str">
        <f>LEFT(M126,4)</f>
        <v>6204</v>
      </c>
      <c r="B126" s="68" t="str">
        <f t="shared" si="2"/>
        <v>ПЛАТЬЕ Без товарного знака жен. Артикул 7500 цвет РАЗНОЦВЕТНЫЙ р. 54</v>
      </c>
      <c r="C126" s="69" t="s">
        <v>1690</v>
      </c>
      <c r="D126" s="70" t="s">
        <v>55</v>
      </c>
      <c r="E126" s="71">
        <v>7500</v>
      </c>
      <c r="F126" s="70" t="s">
        <v>1691</v>
      </c>
      <c r="G126" s="72" t="s">
        <v>229</v>
      </c>
      <c r="H126" s="70" t="s">
        <v>1692</v>
      </c>
      <c r="I126" s="70" t="s">
        <v>59</v>
      </c>
      <c r="J126" s="70">
        <v>54</v>
      </c>
      <c r="K126" s="71" t="s">
        <v>1693</v>
      </c>
      <c r="L126" s="71" t="s">
        <v>1693</v>
      </c>
      <c r="M126" s="73">
        <v>6204430000</v>
      </c>
      <c r="N126" s="7"/>
      <c r="O126" s="74" t="s">
        <v>94</v>
      </c>
      <c r="P126">
        <v>1</v>
      </c>
    </row>
    <row r="127" spans="1:16" customFormat="1" ht="15">
      <c r="A127" s="68" t="str">
        <f>LEFT(M127,4)</f>
        <v>6204</v>
      </c>
      <c r="B127" s="68" t="str">
        <f t="shared" si="2"/>
        <v>ПЛАТЬЕ Без товарного знака жен. Артикул 13075 цвет бордо р. 54</v>
      </c>
      <c r="C127" s="69" t="s">
        <v>1690</v>
      </c>
      <c r="D127" s="70" t="s">
        <v>55</v>
      </c>
      <c r="E127" s="71">
        <v>13075</v>
      </c>
      <c r="F127" s="70" t="s">
        <v>1691</v>
      </c>
      <c r="G127" s="75" t="s">
        <v>1696</v>
      </c>
      <c r="H127" s="70" t="s">
        <v>1692</v>
      </c>
      <c r="I127" s="70" t="s">
        <v>59</v>
      </c>
      <c r="J127" s="70">
        <v>54</v>
      </c>
      <c r="K127" s="71" t="s">
        <v>1693</v>
      </c>
      <c r="L127" s="71" t="s">
        <v>1693</v>
      </c>
      <c r="M127" s="73">
        <v>6204430000</v>
      </c>
      <c r="N127" s="7"/>
      <c r="O127" s="74" t="s">
        <v>94</v>
      </c>
      <c r="P127">
        <v>1</v>
      </c>
    </row>
    <row r="128" spans="1:16" customFormat="1" ht="15">
      <c r="A128" s="68" t="str">
        <f>LEFT(M128,4)</f>
        <v>6204</v>
      </c>
      <c r="B128" s="68" t="str">
        <f t="shared" si="2"/>
        <v>ПЛАТЬЕ Без товарного знака жен. Артикул 13075 цвет коричневый р. 56</v>
      </c>
      <c r="C128" s="69" t="s">
        <v>1690</v>
      </c>
      <c r="D128" s="70" t="s">
        <v>55</v>
      </c>
      <c r="E128" s="71">
        <v>13075</v>
      </c>
      <c r="F128" s="70" t="s">
        <v>1691</v>
      </c>
      <c r="G128" s="72" t="s">
        <v>1713</v>
      </c>
      <c r="H128" s="70" t="s">
        <v>1692</v>
      </c>
      <c r="I128" s="70" t="s">
        <v>59</v>
      </c>
      <c r="J128" s="70">
        <v>56</v>
      </c>
      <c r="K128" s="71" t="s">
        <v>1693</v>
      </c>
      <c r="L128" s="71" t="s">
        <v>1693</v>
      </c>
      <c r="M128" s="73">
        <v>6204430000</v>
      </c>
      <c r="N128" s="7"/>
      <c r="O128" s="74" t="s">
        <v>94</v>
      </c>
      <c r="P128">
        <v>1</v>
      </c>
    </row>
    <row r="129" spans="1:16" customFormat="1" ht="15">
      <c r="A129" s="68" t="str">
        <f>LEFT(M129,4)</f>
        <v>6204</v>
      </c>
      <c r="B129" s="68" t="str">
        <f t="shared" si="2"/>
        <v>ПЛАТЬЕ Без товарного знака жен. Артикул 573 цвет ТЕМНО-СИНИЙ р. 58</v>
      </c>
      <c r="C129" s="69" t="s">
        <v>1690</v>
      </c>
      <c r="D129" s="70" t="s">
        <v>55</v>
      </c>
      <c r="E129" s="71">
        <v>573</v>
      </c>
      <c r="F129" s="70" t="s">
        <v>1691</v>
      </c>
      <c r="G129" s="72" t="s">
        <v>309</v>
      </c>
      <c r="H129" s="70" t="s">
        <v>1692</v>
      </c>
      <c r="I129" s="70" t="s">
        <v>59</v>
      </c>
      <c r="J129" s="70">
        <v>58</v>
      </c>
      <c r="K129" s="71" t="s">
        <v>1693</v>
      </c>
      <c r="L129" s="71" t="s">
        <v>1693</v>
      </c>
      <c r="M129" s="73">
        <v>6204430000</v>
      </c>
      <c r="N129" s="7"/>
      <c r="O129" s="74" t="s">
        <v>94</v>
      </c>
      <c r="P129">
        <v>1</v>
      </c>
    </row>
    <row r="130" spans="1:16" customFormat="1" ht="39">
      <c r="A130" s="68" t="str">
        <f>LEFT(M130,4)</f>
        <v>6204</v>
      </c>
      <c r="B130" s="68" t="str">
        <f t="shared" si="2"/>
        <v>ПЛАТЬЕ Без товарного знака жен. Артикул 4488 цвет ТЕМНО-СИНИЙ р. 60</v>
      </c>
      <c r="C130" s="69" t="s">
        <v>1690</v>
      </c>
      <c r="D130" s="70" t="s">
        <v>55</v>
      </c>
      <c r="E130" s="71">
        <v>4488</v>
      </c>
      <c r="F130" s="70" t="s">
        <v>1691</v>
      </c>
      <c r="G130" s="72" t="s">
        <v>309</v>
      </c>
      <c r="H130" s="70" t="s">
        <v>1692</v>
      </c>
      <c r="I130" s="70" t="s">
        <v>59</v>
      </c>
      <c r="J130" s="70">
        <v>60</v>
      </c>
      <c r="K130" s="78" t="s">
        <v>1714</v>
      </c>
      <c r="L130" s="78" t="s">
        <v>1714</v>
      </c>
      <c r="M130" s="73">
        <v>6204440000</v>
      </c>
      <c r="N130" s="7"/>
      <c r="O130" s="74" t="s">
        <v>94</v>
      </c>
      <c r="P130">
        <v>1</v>
      </c>
    </row>
    <row r="131" spans="1:16" customFormat="1" ht="39">
      <c r="A131" s="68" t="str">
        <f>LEFT(M131,4)</f>
        <v>6204</v>
      </c>
      <c r="B131" s="68" t="str">
        <f t="shared" si="2"/>
        <v>ПЛАТЬЕ Без товарного знака жен. Артикул 4488 цвет ТЕМНО-СИНИЙ р. 62</v>
      </c>
      <c r="C131" s="69" t="s">
        <v>1690</v>
      </c>
      <c r="D131" s="70" t="s">
        <v>55</v>
      </c>
      <c r="E131" s="71">
        <v>4488</v>
      </c>
      <c r="F131" s="70" t="s">
        <v>1691</v>
      </c>
      <c r="G131" s="72" t="s">
        <v>309</v>
      </c>
      <c r="H131" s="70" t="s">
        <v>1692</v>
      </c>
      <c r="I131" s="70" t="s">
        <v>59</v>
      </c>
      <c r="J131" s="70">
        <v>62</v>
      </c>
      <c r="K131" s="78" t="s">
        <v>1714</v>
      </c>
      <c r="L131" s="78" t="s">
        <v>1714</v>
      </c>
      <c r="M131" s="73">
        <v>6204440000</v>
      </c>
      <c r="N131" s="7"/>
      <c r="O131" s="74" t="s">
        <v>94</v>
      </c>
      <c r="P131">
        <v>1</v>
      </c>
    </row>
    <row r="132" spans="1:16" customFormat="1" ht="15">
      <c r="A132" s="68" t="str">
        <f>LEFT(M132,4)</f>
        <v>6204</v>
      </c>
      <c r="B132" s="68" t="str">
        <f t="shared" si="2"/>
        <v>ПЛАТЬЕ Без товарного знака жен. Артикул 9111 цвет ТЕМНО-СИНИЙ р. 60</v>
      </c>
      <c r="C132" s="69" t="s">
        <v>1690</v>
      </c>
      <c r="D132" s="70" t="s">
        <v>55</v>
      </c>
      <c r="E132" s="71">
        <v>9111</v>
      </c>
      <c r="F132" s="70" t="s">
        <v>1691</v>
      </c>
      <c r="G132" s="72" t="s">
        <v>309</v>
      </c>
      <c r="H132" s="70" t="s">
        <v>1692</v>
      </c>
      <c r="I132" s="70" t="s">
        <v>59</v>
      </c>
      <c r="J132" s="70">
        <v>60</v>
      </c>
      <c r="K132" s="71" t="s">
        <v>1715</v>
      </c>
      <c r="L132" s="71" t="s">
        <v>1715</v>
      </c>
      <c r="M132" s="73">
        <v>6204430000</v>
      </c>
      <c r="N132" s="7"/>
      <c r="O132" s="74" t="s">
        <v>94</v>
      </c>
      <c r="P132">
        <v>1</v>
      </c>
    </row>
    <row r="133" spans="1:16" customFormat="1" ht="15">
      <c r="A133" s="68" t="str">
        <f>LEFT(M133,4)</f>
        <v>6204</v>
      </c>
      <c r="B133" s="68" t="str">
        <f t="shared" si="2"/>
        <v>ПЛАТЬЕ Без товарного знака жен. Артикул 7215 цвет РАЗНОЦВЕТНЫЙ р. 62</v>
      </c>
      <c r="C133" s="69" t="s">
        <v>1690</v>
      </c>
      <c r="D133" s="70" t="s">
        <v>55</v>
      </c>
      <c r="E133" s="71">
        <v>7215</v>
      </c>
      <c r="F133" s="70" t="s">
        <v>1691</v>
      </c>
      <c r="G133" s="72" t="s">
        <v>229</v>
      </c>
      <c r="H133" s="70" t="s">
        <v>1692</v>
      </c>
      <c r="I133" s="70" t="s">
        <v>59</v>
      </c>
      <c r="J133" s="70">
        <v>62</v>
      </c>
      <c r="K133" s="71" t="s">
        <v>1693</v>
      </c>
      <c r="L133" s="71" t="s">
        <v>1693</v>
      </c>
      <c r="M133" s="73">
        <v>6204430000</v>
      </c>
      <c r="N133" s="7"/>
      <c r="O133" s="74" t="s">
        <v>94</v>
      </c>
      <c r="P133">
        <v>1</v>
      </c>
    </row>
    <row r="134" spans="1:16" customFormat="1" ht="15">
      <c r="A134" s="68" t="str">
        <f>LEFT(M134,4)</f>
        <v>6204</v>
      </c>
      <c r="B134" s="68" t="str">
        <f t="shared" si="2"/>
        <v>ПЛАТЬЕ Без товарного знака жен. Артикул 2820 цвет РАЗНОЦВЕТНЫЙ р. 44</v>
      </c>
      <c r="C134" s="69" t="s">
        <v>1690</v>
      </c>
      <c r="D134" s="70" t="s">
        <v>55</v>
      </c>
      <c r="E134" s="71">
        <v>2820</v>
      </c>
      <c r="F134" s="70" t="s">
        <v>1691</v>
      </c>
      <c r="G134" s="72" t="s">
        <v>229</v>
      </c>
      <c r="H134" s="70" t="s">
        <v>1692</v>
      </c>
      <c r="I134" s="70" t="s">
        <v>59</v>
      </c>
      <c r="J134" s="70">
        <v>44</v>
      </c>
      <c r="K134" s="71" t="s">
        <v>1693</v>
      </c>
      <c r="L134" s="71" t="s">
        <v>1693</v>
      </c>
      <c r="M134" s="73">
        <v>6204430000</v>
      </c>
      <c r="N134" s="7"/>
      <c r="O134" s="74" t="s">
        <v>94</v>
      </c>
      <c r="P134">
        <v>1</v>
      </c>
    </row>
    <row r="135" spans="1:16" customFormat="1" ht="15">
      <c r="A135" s="68" t="str">
        <f>LEFT(M135,4)</f>
        <v>6204</v>
      </c>
      <c r="B135" s="68" t="str">
        <f t="shared" si="2"/>
        <v>ПЛАТЬЕ Без товарного знака жен. Артикул 2820 цвет РАЗНОЦВЕТНЫЙ р. 46</v>
      </c>
      <c r="C135" s="69" t="s">
        <v>1690</v>
      </c>
      <c r="D135" s="70" t="s">
        <v>55</v>
      </c>
      <c r="E135" s="71">
        <v>2820</v>
      </c>
      <c r="F135" s="70" t="s">
        <v>1691</v>
      </c>
      <c r="G135" s="72" t="s">
        <v>229</v>
      </c>
      <c r="H135" s="70" t="s">
        <v>1692</v>
      </c>
      <c r="I135" s="70" t="s">
        <v>59</v>
      </c>
      <c r="J135" s="70">
        <v>46</v>
      </c>
      <c r="K135" s="71" t="s">
        <v>1693</v>
      </c>
      <c r="L135" s="71" t="s">
        <v>1693</v>
      </c>
      <c r="M135" s="73">
        <v>6204430000</v>
      </c>
      <c r="N135" s="7"/>
      <c r="O135" s="74" t="s">
        <v>94</v>
      </c>
      <c r="P135">
        <v>1</v>
      </c>
    </row>
    <row r="136" spans="1:16" customFormat="1" ht="15">
      <c r="A136" s="68" t="str">
        <f>LEFT(M136,4)</f>
        <v>6204</v>
      </c>
      <c r="B136" s="68" t="str">
        <f t="shared" si="2"/>
        <v>ПЛАТЬЕ Без товарного знака жен. Артикул 2820 цвет РАЗНОЦВЕТНЫЙ р. 48</v>
      </c>
      <c r="C136" s="69" t="s">
        <v>1690</v>
      </c>
      <c r="D136" s="70" t="s">
        <v>55</v>
      </c>
      <c r="E136" s="71">
        <v>2820</v>
      </c>
      <c r="F136" s="70" t="s">
        <v>1691</v>
      </c>
      <c r="G136" s="72" t="s">
        <v>229</v>
      </c>
      <c r="H136" s="70" t="s">
        <v>1692</v>
      </c>
      <c r="I136" s="70" t="s">
        <v>59</v>
      </c>
      <c r="J136" s="70">
        <v>48</v>
      </c>
      <c r="K136" s="71" t="s">
        <v>1693</v>
      </c>
      <c r="L136" s="71" t="s">
        <v>1693</v>
      </c>
      <c r="M136" s="73">
        <v>6204430000</v>
      </c>
      <c r="N136" s="7"/>
      <c r="O136" s="74" t="s">
        <v>94</v>
      </c>
      <c r="P136">
        <v>1</v>
      </c>
    </row>
    <row r="137" spans="1:16" customFormat="1" ht="15">
      <c r="A137" s="68" t="str">
        <f>LEFT(M137,4)</f>
        <v>6204</v>
      </c>
      <c r="B137" s="68" t="str">
        <f t="shared" si="2"/>
        <v>ПЛАТЬЕ Без товарного знака жен. Артикул 7421 цвет салатовый р. 42</v>
      </c>
      <c r="C137" s="69" t="s">
        <v>1690</v>
      </c>
      <c r="D137" s="70" t="s">
        <v>55</v>
      </c>
      <c r="E137" s="71">
        <v>7421</v>
      </c>
      <c r="F137" s="70" t="s">
        <v>1691</v>
      </c>
      <c r="G137" s="72" t="s">
        <v>1716</v>
      </c>
      <c r="H137" s="70" t="s">
        <v>1692</v>
      </c>
      <c r="I137" s="70" t="s">
        <v>59</v>
      </c>
      <c r="J137" s="70">
        <v>42</v>
      </c>
      <c r="K137" s="71" t="s">
        <v>1693</v>
      </c>
      <c r="L137" s="71" t="s">
        <v>1693</v>
      </c>
      <c r="M137" s="73">
        <v>6204430000</v>
      </c>
      <c r="N137" s="7"/>
      <c r="O137" s="74" t="s">
        <v>94</v>
      </c>
      <c r="P137">
        <v>1</v>
      </c>
    </row>
    <row r="138" spans="1:16" customFormat="1" ht="15">
      <c r="A138" s="68" t="str">
        <f>LEFT(M138,4)</f>
        <v>6204</v>
      </c>
      <c r="B138" s="68" t="str">
        <f t="shared" si="2"/>
        <v>ПЛАТЬЕ Без товарного знака жен. Артикул 7421 цвет салатовый р. 44</v>
      </c>
      <c r="C138" s="69" t="s">
        <v>1690</v>
      </c>
      <c r="D138" s="70" t="s">
        <v>55</v>
      </c>
      <c r="E138" s="71">
        <v>7421</v>
      </c>
      <c r="F138" s="70" t="s">
        <v>1691</v>
      </c>
      <c r="G138" s="72" t="s">
        <v>1716</v>
      </c>
      <c r="H138" s="70" t="s">
        <v>1692</v>
      </c>
      <c r="I138" s="70" t="s">
        <v>59</v>
      </c>
      <c r="J138" s="70">
        <v>44</v>
      </c>
      <c r="K138" s="71" t="s">
        <v>1693</v>
      </c>
      <c r="L138" s="71" t="s">
        <v>1693</v>
      </c>
      <c r="M138" s="73">
        <v>6204430000</v>
      </c>
      <c r="N138" s="7"/>
      <c r="O138" s="74" t="s">
        <v>94</v>
      </c>
      <c r="P138">
        <v>1</v>
      </c>
    </row>
    <row r="139" spans="1:16" customFormat="1" ht="15">
      <c r="A139" s="68" t="str">
        <f>LEFT(M139,4)</f>
        <v>6204</v>
      </c>
      <c r="B139" s="68" t="str">
        <f t="shared" si="2"/>
        <v>ПЛАТЬЕ Без товарного знака жен. Артикул 7421 цвет голубой р. 44</v>
      </c>
      <c r="C139" s="69" t="s">
        <v>1690</v>
      </c>
      <c r="D139" s="70" t="s">
        <v>55</v>
      </c>
      <c r="E139" s="71">
        <v>7421</v>
      </c>
      <c r="F139" s="70" t="s">
        <v>1691</v>
      </c>
      <c r="G139" s="72" t="s">
        <v>1708</v>
      </c>
      <c r="H139" s="70" t="s">
        <v>1692</v>
      </c>
      <c r="I139" s="70" t="s">
        <v>59</v>
      </c>
      <c r="J139" s="70">
        <v>44</v>
      </c>
      <c r="K139" s="71" t="s">
        <v>1693</v>
      </c>
      <c r="L139" s="71" t="s">
        <v>1693</v>
      </c>
      <c r="M139" s="73">
        <v>6204430000</v>
      </c>
      <c r="N139" s="7"/>
      <c r="O139" s="74" t="s">
        <v>94</v>
      </c>
      <c r="P139">
        <v>1</v>
      </c>
    </row>
    <row r="140" spans="1:16" customFormat="1" ht="15">
      <c r="A140" s="68" t="str">
        <f>LEFT(M140,4)</f>
        <v>6204</v>
      </c>
      <c r="B140" s="68" t="str">
        <f t="shared" si="2"/>
        <v>ПЛАТЬЕ Без товарного знака жен. Артикул 7421 цвет голубой р. 46</v>
      </c>
      <c r="C140" s="69" t="s">
        <v>1690</v>
      </c>
      <c r="D140" s="70" t="s">
        <v>55</v>
      </c>
      <c r="E140" s="71">
        <v>7421</v>
      </c>
      <c r="F140" s="70" t="s">
        <v>1691</v>
      </c>
      <c r="G140" s="72" t="s">
        <v>1708</v>
      </c>
      <c r="H140" s="70" t="s">
        <v>1692</v>
      </c>
      <c r="I140" s="70" t="s">
        <v>59</v>
      </c>
      <c r="J140" s="70">
        <v>46</v>
      </c>
      <c r="K140" s="71" t="s">
        <v>1693</v>
      </c>
      <c r="L140" s="71" t="s">
        <v>1693</v>
      </c>
      <c r="M140" s="73">
        <v>6204430000</v>
      </c>
      <c r="N140" s="7"/>
      <c r="O140" s="74" t="s">
        <v>94</v>
      </c>
      <c r="P140">
        <v>1</v>
      </c>
    </row>
    <row r="141" spans="1:16" customFormat="1" ht="15">
      <c r="A141" s="68" t="str">
        <f>LEFT(M141,4)</f>
        <v>6204</v>
      </c>
      <c r="B141" s="68" t="str">
        <f t="shared" si="2"/>
        <v>ПЛАТЬЕ Без товарного знака жен. Артикул 7421 цвет электрик р. 46</v>
      </c>
      <c r="C141" s="69" t="s">
        <v>1690</v>
      </c>
      <c r="D141" s="70" t="s">
        <v>55</v>
      </c>
      <c r="E141" s="71">
        <v>7421</v>
      </c>
      <c r="F141" s="70" t="s">
        <v>1691</v>
      </c>
      <c r="G141" s="72" t="s">
        <v>1699</v>
      </c>
      <c r="H141" s="70" t="s">
        <v>1692</v>
      </c>
      <c r="I141" s="70" t="s">
        <v>59</v>
      </c>
      <c r="J141" s="70">
        <v>46</v>
      </c>
      <c r="K141" s="71" t="s">
        <v>1693</v>
      </c>
      <c r="L141" s="71" t="s">
        <v>1693</v>
      </c>
      <c r="M141" s="73">
        <v>6204430000</v>
      </c>
      <c r="N141" s="7"/>
      <c r="O141" s="74" t="s">
        <v>94</v>
      </c>
      <c r="P141">
        <v>1</v>
      </c>
    </row>
    <row r="142" spans="1:16" customFormat="1" ht="15">
      <c r="A142" s="68" t="str">
        <f>LEFT(M142,4)</f>
        <v>6204</v>
      </c>
      <c r="B142" s="68" t="str">
        <f t="shared" si="2"/>
        <v>ПЛАТЬЕ Без товарного знака жен. Артикул 7421 цвет изумрудный р. 42</v>
      </c>
      <c r="C142" s="69" t="s">
        <v>1690</v>
      </c>
      <c r="D142" s="70" t="s">
        <v>55</v>
      </c>
      <c r="E142" s="71">
        <v>7421</v>
      </c>
      <c r="F142" s="70" t="s">
        <v>1691</v>
      </c>
      <c r="G142" s="72" t="s">
        <v>1698</v>
      </c>
      <c r="H142" s="70" t="s">
        <v>1692</v>
      </c>
      <c r="I142" s="70" t="s">
        <v>59</v>
      </c>
      <c r="J142" s="70">
        <v>42</v>
      </c>
      <c r="K142" s="71" t="s">
        <v>1693</v>
      </c>
      <c r="L142" s="71" t="s">
        <v>1693</v>
      </c>
      <c r="M142" s="73">
        <v>6204430000</v>
      </c>
      <c r="N142" s="7"/>
      <c r="O142" s="74" t="s">
        <v>94</v>
      </c>
      <c r="P142">
        <v>1</v>
      </c>
    </row>
    <row r="143" spans="1:16" customFormat="1" ht="15">
      <c r="A143" s="68" t="str">
        <f>LEFT(M143,4)</f>
        <v>6204</v>
      </c>
      <c r="B143" s="68" t="str">
        <f t="shared" si="2"/>
        <v>ПЛАТЬЕ Без товарного знака жен. Артикул 7421 цвет изумрудный р. 44</v>
      </c>
      <c r="C143" s="69" t="s">
        <v>1690</v>
      </c>
      <c r="D143" s="70" t="s">
        <v>55</v>
      </c>
      <c r="E143" s="71">
        <v>7421</v>
      </c>
      <c r="F143" s="70" t="s">
        <v>1691</v>
      </c>
      <c r="G143" s="72" t="s">
        <v>1698</v>
      </c>
      <c r="H143" s="70" t="s">
        <v>1692</v>
      </c>
      <c r="I143" s="70" t="s">
        <v>59</v>
      </c>
      <c r="J143" s="70">
        <v>44</v>
      </c>
      <c r="K143" s="71" t="s">
        <v>1693</v>
      </c>
      <c r="L143" s="71" t="s">
        <v>1693</v>
      </c>
      <c r="M143" s="73">
        <v>6204430000</v>
      </c>
      <c r="N143" s="7"/>
      <c r="O143" s="74" t="s">
        <v>94</v>
      </c>
      <c r="P143">
        <v>1</v>
      </c>
    </row>
    <row r="144" spans="1:16" customFormat="1" ht="15">
      <c r="A144" s="68" t="str">
        <f>LEFT(M144,4)</f>
        <v>6204</v>
      </c>
      <c r="B144" s="68" t="str">
        <f t="shared" si="2"/>
        <v>ПЛАТЬЕ Без товарного знака жен. Артикул 7421 цвет изумрудный р. 46</v>
      </c>
      <c r="C144" s="69" t="s">
        <v>1690</v>
      </c>
      <c r="D144" s="70" t="s">
        <v>55</v>
      </c>
      <c r="E144" s="71">
        <v>7421</v>
      </c>
      <c r="F144" s="70" t="s">
        <v>1691</v>
      </c>
      <c r="G144" s="72" t="s">
        <v>1698</v>
      </c>
      <c r="H144" s="70" t="s">
        <v>1692</v>
      </c>
      <c r="I144" s="70" t="s">
        <v>59</v>
      </c>
      <c r="J144" s="70">
        <v>46</v>
      </c>
      <c r="K144" s="71" t="s">
        <v>1693</v>
      </c>
      <c r="L144" s="71" t="s">
        <v>1693</v>
      </c>
      <c r="M144" s="73">
        <v>6204430000</v>
      </c>
      <c r="N144" s="7"/>
      <c r="O144" s="74" t="s">
        <v>94</v>
      </c>
      <c r="P144">
        <v>1</v>
      </c>
    </row>
    <row r="145" spans="1:16" customFormat="1" ht="15">
      <c r="A145" s="68" t="str">
        <f>LEFT(M145,4)</f>
        <v>6204</v>
      </c>
      <c r="B145" s="68" t="str">
        <f t="shared" si="2"/>
        <v>ПЛАТЬЕ Без товарного знака жен. Артикул 7421 цвет изумрудный р. 48</v>
      </c>
      <c r="C145" s="69" t="s">
        <v>1690</v>
      </c>
      <c r="D145" s="70" t="s">
        <v>55</v>
      </c>
      <c r="E145" s="71">
        <v>7421</v>
      </c>
      <c r="F145" s="70" t="s">
        <v>1691</v>
      </c>
      <c r="G145" s="72" t="s">
        <v>1698</v>
      </c>
      <c r="H145" s="70" t="s">
        <v>1692</v>
      </c>
      <c r="I145" s="70" t="s">
        <v>59</v>
      </c>
      <c r="J145" s="70">
        <v>48</v>
      </c>
      <c r="K145" s="71" t="s">
        <v>1693</v>
      </c>
      <c r="L145" s="71" t="s">
        <v>1693</v>
      </c>
      <c r="M145" s="73">
        <v>6204430000</v>
      </c>
      <c r="N145" s="7"/>
      <c r="O145" s="74" t="s">
        <v>94</v>
      </c>
      <c r="P145">
        <v>1</v>
      </c>
    </row>
    <row r="146" spans="1:16" customFormat="1" ht="15">
      <c r="A146" s="68" t="str">
        <f>LEFT(M146,4)</f>
        <v>6204</v>
      </c>
      <c r="B146" s="68" t="str">
        <f t="shared" si="2"/>
        <v>ПЛАТЬЕ Без товарного знака жен. Артикул 7421 цвет лиловый р. 44</v>
      </c>
      <c r="C146" s="69" t="s">
        <v>1690</v>
      </c>
      <c r="D146" s="70" t="s">
        <v>55</v>
      </c>
      <c r="E146" s="71">
        <v>7421</v>
      </c>
      <c r="F146" s="70" t="s">
        <v>1691</v>
      </c>
      <c r="G146" s="72" t="s">
        <v>1717</v>
      </c>
      <c r="H146" s="70" t="s">
        <v>1692</v>
      </c>
      <c r="I146" s="70" t="s">
        <v>59</v>
      </c>
      <c r="J146" s="70">
        <v>44</v>
      </c>
      <c r="K146" s="71" t="s">
        <v>1693</v>
      </c>
      <c r="L146" s="71" t="s">
        <v>1693</v>
      </c>
      <c r="M146" s="73">
        <v>6204430000</v>
      </c>
      <c r="N146" s="7"/>
      <c r="O146" s="74" t="s">
        <v>94</v>
      </c>
      <c r="P146">
        <v>1</v>
      </c>
    </row>
    <row r="147" spans="1:16" customFormat="1" ht="15">
      <c r="A147" s="68" t="str">
        <f>LEFT(M147,4)</f>
        <v>6204</v>
      </c>
      <c r="B147" s="68" t="str">
        <f t="shared" si="2"/>
        <v>ПЛАТЬЕ Без товарного знака жен. Артикул 7421 цвет лиловый р. 46</v>
      </c>
      <c r="C147" s="69" t="s">
        <v>1690</v>
      </c>
      <c r="D147" s="70" t="s">
        <v>55</v>
      </c>
      <c r="E147" s="71">
        <v>7421</v>
      </c>
      <c r="F147" s="70" t="s">
        <v>1691</v>
      </c>
      <c r="G147" s="72" t="s">
        <v>1717</v>
      </c>
      <c r="H147" s="70" t="s">
        <v>1692</v>
      </c>
      <c r="I147" s="70" t="s">
        <v>59</v>
      </c>
      <c r="J147" s="70">
        <v>46</v>
      </c>
      <c r="K147" s="71" t="s">
        <v>1693</v>
      </c>
      <c r="L147" s="71" t="s">
        <v>1693</v>
      </c>
      <c r="M147" s="73">
        <v>6204430000</v>
      </c>
      <c r="N147" s="7"/>
      <c r="O147" s="74" t="s">
        <v>94</v>
      </c>
      <c r="P147">
        <v>1</v>
      </c>
    </row>
    <row r="148" spans="1:16" customFormat="1" ht="15">
      <c r="A148" s="68" t="str">
        <f>LEFT(M148,4)</f>
        <v>6204</v>
      </c>
      <c r="B148" s="68" t="str">
        <f t="shared" si="2"/>
        <v>ПЛАТЬЕ Без товарного знака жен. Артикул 7421 цвет лиловый р. 48</v>
      </c>
      <c r="C148" s="69" t="s">
        <v>1690</v>
      </c>
      <c r="D148" s="70" t="s">
        <v>55</v>
      </c>
      <c r="E148" s="71">
        <v>7421</v>
      </c>
      <c r="F148" s="70" t="s">
        <v>1691</v>
      </c>
      <c r="G148" s="72" t="s">
        <v>1717</v>
      </c>
      <c r="H148" s="70" t="s">
        <v>1692</v>
      </c>
      <c r="I148" s="70" t="s">
        <v>59</v>
      </c>
      <c r="J148" s="70">
        <v>48</v>
      </c>
      <c r="K148" s="71" t="s">
        <v>1693</v>
      </c>
      <c r="L148" s="71" t="s">
        <v>1693</v>
      </c>
      <c r="M148" s="73">
        <v>6204430000</v>
      </c>
      <c r="N148" s="7"/>
      <c r="O148" s="74" t="s">
        <v>94</v>
      </c>
      <c r="P148">
        <v>1</v>
      </c>
    </row>
    <row r="149" spans="1:16" customFormat="1" ht="15">
      <c r="A149" s="68" t="str">
        <f>LEFT(M149,4)</f>
        <v>6204</v>
      </c>
      <c r="B149" s="68" t="str">
        <f t="shared" si="2"/>
        <v>ПЛАТЬЕ Без товарного знака жен. Артикул 7421 цвет лиловый р. 54</v>
      </c>
      <c r="C149" s="69" t="s">
        <v>1690</v>
      </c>
      <c r="D149" s="70" t="s">
        <v>55</v>
      </c>
      <c r="E149" s="71">
        <v>7421</v>
      </c>
      <c r="F149" s="70" t="s">
        <v>1691</v>
      </c>
      <c r="G149" s="72" t="s">
        <v>1717</v>
      </c>
      <c r="H149" s="70" t="s">
        <v>1692</v>
      </c>
      <c r="I149" s="70" t="s">
        <v>59</v>
      </c>
      <c r="J149" s="70">
        <v>54</v>
      </c>
      <c r="K149" s="71" t="s">
        <v>1693</v>
      </c>
      <c r="L149" s="71" t="s">
        <v>1693</v>
      </c>
      <c r="M149" s="73">
        <v>6204430000</v>
      </c>
      <c r="N149" s="7"/>
      <c r="O149" s="74" t="s">
        <v>94</v>
      </c>
      <c r="P149">
        <v>1</v>
      </c>
    </row>
    <row r="150" spans="1:16" customFormat="1" ht="15">
      <c r="A150" s="68" t="str">
        <f>LEFT(M150,4)</f>
        <v>6204</v>
      </c>
      <c r="B150" s="68" t="str">
        <f t="shared" si="2"/>
        <v>ПЛАТЬЕ Без товарного знака жен. Артикул 7455 цвет РАЗНОЦВЕТНЫЙ р. 42</v>
      </c>
      <c r="C150" s="69" t="s">
        <v>1690</v>
      </c>
      <c r="D150" s="70" t="s">
        <v>55</v>
      </c>
      <c r="E150" s="71">
        <v>7455</v>
      </c>
      <c r="F150" s="70" t="s">
        <v>1691</v>
      </c>
      <c r="G150" s="72" t="s">
        <v>229</v>
      </c>
      <c r="H150" s="70" t="s">
        <v>1692</v>
      </c>
      <c r="I150" s="70" t="s">
        <v>59</v>
      </c>
      <c r="J150" s="70">
        <v>42</v>
      </c>
      <c r="K150" s="71" t="s">
        <v>1693</v>
      </c>
      <c r="L150" s="71" t="s">
        <v>1693</v>
      </c>
      <c r="M150" s="73">
        <v>6204430000</v>
      </c>
      <c r="N150" s="7"/>
      <c r="O150" s="74" t="s">
        <v>94</v>
      </c>
      <c r="P150">
        <v>1</v>
      </c>
    </row>
    <row r="151" spans="1:16" customFormat="1" ht="15">
      <c r="A151" s="68" t="str">
        <f>LEFT(M151,4)</f>
        <v>6204</v>
      </c>
      <c r="B151" s="68" t="str">
        <f t="shared" si="2"/>
        <v>ПЛАТЬЕ Без товарного знака жен. Артикул 7455 цвет серебряный р. 42</v>
      </c>
      <c r="C151" s="69" t="s">
        <v>1690</v>
      </c>
      <c r="D151" s="70" t="s">
        <v>55</v>
      </c>
      <c r="E151" s="71">
        <v>7455</v>
      </c>
      <c r="F151" s="70" t="s">
        <v>1691</v>
      </c>
      <c r="G151" s="75" t="s">
        <v>1718</v>
      </c>
      <c r="H151" s="70" t="s">
        <v>1692</v>
      </c>
      <c r="I151" s="70" t="s">
        <v>59</v>
      </c>
      <c r="J151" s="70">
        <v>42</v>
      </c>
      <c r="K151" s="71" t="s">
        <v>1693</v>
      </c>
      <c r="L151" s="71" t="s">
        <v>1693</v>
      </c>
      <c r="M151" s="73">
        <v>6204430000</v>
      </c>
      <c r="N151" s="7"/>
      <c r="O151" s="74" t="s">
        <v>94</v>
      </c>
      <c r="P151">
        <v>1</v>
      </c>
    </row>
    <row r="152" spans="1:16" customFormat="1" ht="15">
      <c r="A152" s="68" t="str">
        <f>LEFT(M152,4)</f>
        <v>6204</v>
      </c>
      <c r="B152" s="68" t="str">
        <f t="shared" si="2"/>
        <v>ПЛАТЬЕ Без товарного знака жен. Артикул 7318 цвет РАЗНОЦВЕТНЫЙ р. 56</v>
      </c>
      <c r="C152" s="69" t="s">
        <v>1690</v>
      </c>
      <c r="D152" s="70" t="s">
        <v>55</v>
      </c>
      <c r="E152" s="71">
        <v>7318</v>
      </c>
      <c r="F152" s="70" t="s">
        <v>1691</v>
      </c>
      <c r="G152" s="72" t="s">
        <v>229</v>
      </c>
      <c r="H152" s="70" t="s">
        <v>1692</v>
      </c>
      <c r="I152" s="70" t="s">
        <v>59</v>
      </c>
      <c r="J152" s="70">
        <v>56</v>
      </c>
      <c r="K152" s="71" t="s">
        <v>1693</v>
      </c>
      <c r="L152" s="71" t="s">
        <v>1693</v>
      </c>
      <c r="M152" s="73">
        <v>6204430000</v>
      </c>
      <c r="N152" s="7"/>
      <c r="O152" s="74" t="s">
        <v>94</v>
      </c>
      <c r="P152">
        <v>1</v>
      </c>
    </row>
    <row r="153" spans="1:16" customFormat="1" ht="15.75">
      <c r="A153" s="68" t="str">
        <f>LEFT(M153,4)</f>
        <v>6204</v>
      </c>
      <c r="B153" s="68" t="str">
        <f t="shared" si="2"/>
        <v>ПЛАТЬЕ Без товарного знака жен. Артикул 035 цвет серебряный р. 46</v>
      </c>
      <c r="C153" s="69" t="s">
        <v>1690</v>
      </c>
      <c r="D153" s="70" t="s">
        <v>55</v>
      </c>
      <c r="E153" s="77" t="s">
        <v>1719</v>
      </c>
      <c r="F153" s="70" t="s">
        <v>1691</v>
      </c>
      <c r="G153" s="75" t="s">
        <v>1718</v>
      </c>
      <c r="H153" s="70" t="s">
        <v>1692</v>
      </c>
      <c r="I153" s="70" t="s">
        <v>59</v>
      </c>
      <c r="J153" s="70">
        <v>46</v>
      </c>
      <c r="K153" s="71" t="s">
        <v>1693</v>
      </c>
      <c r="L153" s="71" t="s">
        <v>1693</v>
      </c>
      <c r="M153" s="73">
        <v>6204430000</v>
      </c>
      <c r="N153" s="7"/>
      <c r="O153" s="74" t="s">
        <v>94</v>
      </c>
      <c r="P153">
        <v>1</v>
      </c>
    </row>
    <row r="154" spans="1:16" customFormat="1" ht="15">
      <c r="A154" s="68" t="str">
        <f>LEFT(M154,4)</f>
        <v>6204</v>
      </c>
      <c r="B154" s="68" t="str">
        <f t="shared" si="2"/>
        <v>ПЛАТЬЕ Без товарного знака жен. Артикул 4552 цвет МЯТНЫЙ р. 48</v>
      </c>
      <c r="C154" s="69" t="s">
        <v>1690</v>
      </c>
      <c r="D154" s="70" t="s">
        <v>55</v>
      </c>
      <c r="E154" s="71">
        <v>4552</v>
      </c>
      <c r="F154" s="70" t="s">
        <v>1691</v>
      </c>
      <c r="G154" s="72" t="s">
        <v>205</v>
      </c>
      <c r="H154" s="70" t="s">
        <v>1692</v>
      </c>
      <c r="I154" s="70" t="s">
        <v>59</v>
      </c>
      <c r="J154" s="70">
        <v>48</v>
      </c>
      <c r="K154" s="71" t="s">
        <v>1693</v>
      </c>
      <c r="L154" s="71" t="s">
        <v>1693</v>
      </c>
      <c r="M154" s="73">
        <v>6204430000</v>
      </c>
      <c r="N154" s="7"/>
      <c r="O154" s="74" t="s">
        <v>94</v>
      </c>
      <c r="P154">
        <v>1</v>
      </c>
    </row>
    <row r="155" spans="1:16" customFormat="1" ht="15.75">
      <c r="A155" s="68" t="str">
        <f>LEFT(M155,4)</f>
        <v>6204</v>
      </c>
      <c r="B155" s="68" t="str">
        <f t="shared" si="2"/>
        <v>ПЛАТЬЕ Без товарного знака жен. Артикул 028 цвет РОЗОВЫЙ р. 48</v>
      </c>
      <c r="C155" s="69" t="s">
        <v>1690</v>
      </c>
      <c r="D155" s="70" t="s">
        <v>55</v>
      </c>
      <c r="E155" s="77" t="s">
        <v>1720</v>
      </c>
      <c r="F155" s="70" t="s">
        <v>1691</v>
      </c>
      <c r="G155" s="72" t="s">
        <v>235</v>
      </c>
      <c r="H155" s="70" t="s">
        <v>1692</v>
      </c>
      <c r="I155" s="70" t="s">
        <v>59</v>
      </c>
      <c r="J155" s="70">
        <v>48</v>
      </c>
      <c r="K155" s="71" t="s">
        <v>1693</v>
      </c>
      <c r="L155" s="71" t="s">
        <v>1693</v>
      </c>
      <c r="M155" s="73">
        <v>6204430000</v>
      </c>
      <c r="N155" s="7"/>
      <c r="O155" s="74" t="s">
        <v>94</v>
      </c>
      <c r="P155">
        <v>1</v>
      </c>
    </row>
    <row r="156" spans="1:16" customFormat="1" ht="15.75">
      <c r="A156" s="68" t="str">
        <f>LEFT(M156,4)</f>
        <v>6204</v>
      </c>
      <c r="B156" s="68" t="str">
        <f t="shared" si="2"/>
        <v>ПЛАТЬЕ Без товарного знака жен. Артикул 028 цвет Темно-синий р. 54</v>
      </c>
      <c r="C156" s="69" t="s">
        <v>1690</v>
      </c>
      <c r="D156" s="70" t="s">
        <v>55</v>
      </c>
      <c r="E156" s="77" t="s">
        <v>1720</v>
      </c>
      <c r="F156" s="70" t="s">
        <v>1691</v>
      </c>
      <c r="G156" s="72" t="s">
        <v>1375</v>
      </c>
      <c r="H156" s="70" t="s">
        <v>1692</v>
      </c>
      <c r="I156" s="70" t="s">
        <v>59</v>
      </c>
      <c r="J156" s="70">
        <v>54</v>
      </c>
      <c r="K156" s="71" t="s">
        <v>1693</v>
      </c>
      <c r="L156" s="71" t="s">
        <v>1693</v>
      </c>
      <c r="M156" s="73">
        <v>6204430000</v>
      </c>
      <c r="N156" s="7"/>
      <c r="O156" s="74" t="s">
        <v>94</v>
      </c>
      <c r="P156">
        <v>1</v>
      </c>
    </row>
    <row r="157" spans="1:16" customFormat="1" ht="15.75">
      <c r="A157" s="68" t="str">
        <f>LEFT(M157,4)</f>
        <v>6204</v>
      </c>
      <c r="B157" s="68" t="str">
        <f t="shared" si="2"/>
        <v>ПЛАТЬЕ Без товарного знака жен. Артикул 0740 цвет РОЗОВЫЙ р. 54</v>
      </c>
      <c r="C157" s="69" t="s">
        <v>1690</v>
      </c>
      <c r="D157" s="70" t="s">
        <v>55</v>
      </c>
      <c r="E157" s="77" t="s">
        <v>1721</v>
      </c>
      <c r="F157" s="70" t="s">
        <v>1691</v>
      </c>
      <c r="G157" s="72" t="s">
        <v>235</v>
      </c>
      <c r="H157" s="70" t="s">
        <v>1692</v>
      </c>
      <c r="I157" s="70" t="s">
        <v>59</v>
      </c>
      <c r="J157" s="70">
        <v>54</v>
      </c>
      <c r="K157" s="71" t="s">
        <v>1693</v>
      </c>
      <c r="L157" s="71" t="s">
        <v>1693</v>
      </c>
      <c r="M157" s="73">
        <v>6204430000</v>
      </c>
      <c r="N157" s="7"/>
      <c r="O157" s="74" t="s">
        <v>94</v>
      </c>
      <c r="P157">
        <v>1</v>
      </c>
    </row>
    <row r="158" spans="1:16" customFormat="1" ht="15.75">
      <c r="A158" s="68" t="str">
        <f>LEFT(M158,4)</f>
        <v>6204</v>
      </c>
      <c r="B158" s="68" t="str">
        <f t="shared" si="2"/>
        <v>ПЛАТЬЕ Без товарного знака жен. Артикул 0740 цвет РОЗОВЫЙ р. 56</v>
      </c>
      <c r="C158" s="69" t="s">
        <v>1690</v>
      </c>
      <c r="D158" s="70" t="s">
        <v>55</v>
      </c>
      <c r="E158" s="77" t="s">
        <v>1721</v>
      </c>
      <c r="F158" s="70" t="s">
        <v>1691</v>
      </c>
      <c r="G158" s="72" t="s">
        <v>235</v>
      </c>
      <c r="H158" s="70" t="s">
        <v>1692</v>
      </c>
      <c r="I158" s="70" t="s">
        <v>59</v>
      </c>
      <c r="J158" s="70">
        <v>56</v>
      </c>
      <c r="K158" s="71" t="s">
        <v>1693</v>
      </c>
      <c r="L158" s="71" t="s">
        <v>1693</v>
      </c>
      <c r="M158" s="73">
        <v>6204430000</v>
      </c>
      <c r="N158" s="7"/>
      <c r="O158" s="74" t="s">
        <v>94</v>
      </c>
      <c r="P158">
        <v>1</v>
      </c>
    </row>
    <row r="159" spans="1:16" customFormat="1" ht="15.75">
      <c r="A159" s="68" t="str">
        <f>LEFT(M159,4)</f>
        <v>6204</v>
      </c>
      <c r="B159" s="68" t="str">
        <f t="shared" si="2"/>
        <v>ПЛАТЬЕ Без товарного знака жен. Артикул 0740 цвет лиловый р. 56</v>
      </c>
      <c r="C159" s="69" t="s">
        <v>1690</v>
      </c>
      <c r="D159" s="70" t="s">
        <v>55</v>
      </c>
      <c r="E159" s="77" t="s">
        <v>1721</v>
      </c>
      <c r="F159" s="70" t="s">
        <v>1691</v>
      </c>
      <c r="G159" s="72" t="s">
        <v>1717</v>
      </c>
      <c r="H159" s="70" t="s">
        <v>1692</v>
      </c>
      <c r="I159" s="70" t="s">
        <v>59</v>
      </c>
      <c r="J159" s="70">
        <v>56</v>
      </c>
      <c r="K159" s="71" t="s">
        <v>1693</v>
      </c>
      <c r="L159" s="71" t="s">
        <v>1693</v>
      </c>
      <c r="M159" s="73">
        <v>6204430000</v>
      </c>
      <c r="N159" s="7"/>
      <c r="O159" s="74" t="s">
        <v>94</v>
      </c>
      <c r="P159">
        <v>1</v>
      </c>
    </row>
    <row r="160" spans="1:16" customFormat="1" ht="15.75">
      <c r="A160" s="68" t="str">
        <f>LEFT(M160,4)</f>
        <v>6204</v>
      </c>
      <c r="B160" s="68" t="str">
        <f t="shared" si="2"/>
        <v>ПЛАТЬЕ Без товарного знака жен. Артикул 0740 цвет КАПУЧИНО р. 60</v>
      </c>
      <c r="C160" s="69" t="s">
        <v>1690</v>
      </c>
      <c r="D160" s="70" t="s">
        <v>55</v>
      </c>
      <c r="E160" s="77" t="s">
        <v>1721</v>
      </c>
      <c r="F160" s="70" t="s">
        <v>1691</v>
      </c>
      <c r="G160" s="72" t="s">
        <v>164</v>
      </c>
      <c r="H160" s="70" t="s">
        <v>1692</v>
      </c>
      <c r="I160" s="70" t="s">
        <v>59</v>
      </c>
      <c r="J160" s="70">
        <v>60</v>
      </c>
      <c r="K160" s="71" t="s">
        <v>1693</v>
      </c>
      <c r="L160" s="71" t="s">
        <v>1693</v>
      </c>
      <c r="M160" s="73">
        <v>6204430000</v>
      </c>
      <c r="N160" s="7"/>
      <c r="O160" s="74" t="s">
        <v>94</v>
      </c>
      <c r="P160">
        <v>1</v>
      </c>
    </row>
    <row r="161" spans="1:16" customFormat="1" ht="15.75">
      <c r="A161" s="68" t="str">
        <f>LEFT(M161,4)</f>
        <v>6204</v>
      </c>
      <c r="B161" s="68" t="str">
        <f t="shared" si="2"/>
        <v>ПЛАТЬЕ Без товарного знака жен. Артикул 0740 цвет моренго р. 48</v>
      </c>
      <c r="C161" s="69" t="s">
        <v>1690</v>
      </c>
      <c r="D161" s="70" t="s">
        <v>55</v>
      </c>
      <c r="E161" s="77" t="s">
        <v>1721</v>
      </c>
      <c r="F161" s="70" t="s">
        <v>1691</v>
      </c>
      <c r="G161" s="75" t="s">
        <v>1722</v>
      </c>
      <c r="H161" s="70" t="s">
        <v>1692</v>
      </c>
      <c r="I161" s="70" t="s">
        <v>59</v>
      </c>
      <c r="J161" s="70">
        <v>48</v>
      </c>
      <c r="K161" s="71" t="s">
        <v>1693</v>
      </c>
      <c r="L161" s="71" t="s">
        <v>1693</v>
      </c>
      <c r="M161" s="73">
        <v>6204430000</v>
      </c>
      <c r="N161" s="7"/>
      <c r="O161" s="74" t="s">
        <v>94</v>
      </c>
      <c r="P161">
        <v>1</v>
      </c>
    </row>
    <row r="162" spans="1:16" customFormat="1" ht="15.75">
      <c r="A162" s="68" t="str">
        <f>LEFT(M162,4)</f>
        <v>6204</v>
      </c>
      <c r="B162" s="68" t="str">
        <f t="shared" si="2"/>
        <v>ПЛАТЬЕ Без товарного знака жен. Артикул 0740 цвет синий р. 60</v>
      </c>
      <c r="C162" s="69" t="s">
        <v>1690</v>
      </c>
      <c r="D162" s="70" t="s">
        <v>55</v>
      </c>
      <c r="E162" s="77" t="s">
        <v>1721</v>
      </c>
      <c r="F162" s="70" t="s">
        <v>1691</v>
      </c>
      <c r="G162" s="72" t="s">
        <v>1695</v>
      </c>
      <c r="H162" s="70" t="s">
        <v>1692</v>
      </c>
      <c r="I162" s="70" t="s">
        <v>59</v>
      </c>
      <c r="J162" s="70">
        <v>60</v>
      </c>
      <c r="K162" s="71" t="s">
        <v>1693</v>
      </c>
      <c r="L162" s="71" t="s">
        <v>1693</v>
      </c>
      <c r="M162" s="73">
        <v>6204430000</v>
      </c>
      <c r="N162" s="7"/>
      <c r="O162" s="74" t="s">
        <v>94</v>
      </c>
      <c r="P162">
        <v>1</v>
      </c>
    </row>
    <row r="163" spans="1:16" customFormat="1" ht="15.75">
      <c r="A163" s="68" t="str">
        <f>LEFT(M163,4)</f>
        <v>6204</v>
      </c>
      <c r="B163" s="68" t="str">
        <f t="shared" si="2"/>
        <v>ПЛАТЬЕ Без товарного знака жен. Артикул 0125941 цвет сиреневый р. 42</v>
      </c>
      <c r="C163" s="69" t="s">
        <v>1690</v>
      </c>
      <c r="D163" s="70" t="s">
        <v>55</v>
      </c>
      <c r="E163" s="77" t="s">
        <v>1723</v>
      </c>
      <c r="F163" s="70" t="s">
        <v>1691</v>
      </c>
      <c r="G163" s="72" t="s">
        <v>1724</v>
      </c>
      <c r="H163" s="70" t="s">
        <v>1692</v>
      </c>
      <c r="I163" s="70" t="s">
        <v>59</v>
      </c>
      <c r="J163" s="70">
        <v>42</v>
      </c>
      <c r="K163" s="71" t="s">
        <v>1725</v>
      </c>
      <c r="L163" s="71" t="s">
        <v>1725</v>
      </c>
      <c r="M163" s="73">
        <v>6204430000</v>
      </c>
      <c r="N163" s="7"/>
      <c r="O163" s="74" t="s">
        <v>94</v>
      </c>
      <c r="P163">
        <v>1</v>
      </c>
    </row>
    <row r="164" spans="1:16" customFormat="1" ht="15.75">
      <c r="A164" s="68" t="str">
        <f>LEFT(M164,4)</f>
        <v>6204</v>
      </c>
      <c r="B164" s="68" t="str">
        <f t="shared" si="2"/>
        <v>ПЛАТЬЕ Без товарного знака жен. Артикул 0125941 цвет сиреневый р. 48</v>
      </c>
      <c r="C164" s="69" t="s">
        <v>1690</v>
      </c>
      <c r="D164" s="70" t="s">
        <v>55</v>
      </c>
      <c r="E164" s="77" t="s">
        <v>1723</v>
      </c>
      <c r="F164" s="70" t="s">
        <v>1691</v>
      </c>
      <c r="G164" s="72" t="s">
        <v>1724</v>
      </c>
      <c r="H164" s="70" t="s">
        <v>1692</v>
      </c>
      <c r="I164" s="70" t="s">
        <v>59</v>
      </c>
      <c r="J164" s="70">
        <v>48</v>
      </c>
      <c r="K164" s="71" t="s">
        <v>1725</v>
      </c>
      <c r="L164" s="71" t="s">
        <v>1725</v>
      </c>
      <c r="M164" s="73">
        <v>6204430000</v>
      </c>
      <c r="N164" s="7"/>
      <c r="O164" s="74" t="s">
        <v>94</v>
      </c>
      <c r="P164">
        <v>1</v>
      </c>
    </row>
    <row r="165" spans="1:16" customFormat="1" ht="15.75">
      <c r="A165" s="68" t="str">
        <f>LEFT(M165,4)</f>
        <v>6204</v>
      </c>
      <c r="B165" s="68" t="str">
        <f t="shared" si="2"/>
        <v>ПЛАТЬЕ Без товарного знака жен. Артикул 0139041 цвет черный р. 42</v>
      </c>
      <c r="C165" s="69" t="s">
        <v>1690</v>
      </c>
      <c r="D165" s="70" t="s">
        <v>55</v>
      </c>
      <c r="E165" s="77" t="s">
        <v>1726</v>
      </c>
      <c r="F165" s="70" t="s">
        <v>1691</v>
      </c>
      <c r="G165" s="72" t="s">
        <v>1727</v>
      </c>
      <c r="H165" s="70" t="s">
        <v>1692</v>
      </c>
      <c r="I165" s="70" t="s">
        <v>59</v>
      </c>
      <c r="J165" s="70">
        <v>42</v>
      </c>
      <c r="K165" s="71" t="s">
        <v>1728</v>
      </c>
      <c r="L165" s="71" t="s">
        <v>1728</v>
      </c>
      <c r="M165" s="73">
        <v>6204430000</v>
      </c>
      <c r="N165" s="7"/>
      <c r="O165" s="74" t="s">
        <v>94</v>
      </c>
      <c r="P165">
        <v>1</v>
      </c>
    </row>
    <row r="166" spans="1:16" customFormat="1" ht="15.75">
      <c r="A166" s="68" t="str">
        <f>LEFT(M166,4)</f>
        <v>6204</v>
      </c>
      <c r="B166" s="68" t="str">
        <f t="shared" si="2"/>
        <v>ПЛАТЬЕ Без товарного знака жен. Артикул 0139041 цвет черный р. 44</v>
      </c>
      <c r="C166" s="69" t="s">
        <v>1690</v>
      </c>
      <c r="D166" s="70" t="s">
        <v>55</v>
      </c>
      <c r="E166" s="77" t="s">
        <v>1726</v>
      </c>
      <c r="F166" s="70" t="s">
        <v>1691</v>
      </c>
      <c r="G166" s="72" t="s">
        <v>1727</v>
      </c>
      <c r="H166" s="70" t="s">
        <v>1692</v>
      </c>
      <c r="I166" s="70" t="s">
        <v>59</v>
      </c>
      <c r="J166" s="70">
        <v>44</v>
      </c>
      <c r="K166" s="71" t="s">
        <v>1728</v>
      </c>
      <c r="L166" s="71" t="s">
        <v>1728</v>
      </c>
      <c r="M166" s="73">
        <v>6204430000</v>
      </c>
      <c r="N166" s="7"/>
      <c r="O166" s="74" t="s">
        <v>94</v>
      </c>
      <c r="P166">
        <v>1</v>
      </c>
    </row>
    <row r="167" spans="1:16" customFormat="1" ht="15">
      <c r="A167" s="68" t="str">
        <f>LEFT(M167,4)</f>
        <v>6204</v>
      </c>
      <c r="B167" s="68" t="str">
        <f t="shared" si="2"/>
        <v>КОМБИНЕЗОН Без товарного знака жен. Артикул 1042 цвет Темно-синий р. 50</v>
      </c>
      <c r="C167" s="69" t="s">
        <v>1690</v>
      </c>
      <c r="D167" s="70" t="s">
        <v>55</v>
      </c>
      <c r="E167" s="71">
        <v>1042</v>
      </c>
      <c r="F167" s="70" t="s">
        <v>1729</v>
      </c>
      <c r="G167" s="72" t="s">
        <v>1375</v>
      </c>
      <c r="H167" s="70" t="s">
        <v>1692</v>
      </c>
      <c r="I167" s="70" t="s">
        <v>59</v>
      </c>
      <c r="J167" s="70">
        <v>50</v>
      </c>
      <c r="K167" s="71" t="s">
        <v>1693</v>
      </c>
      <c r="L167" s="71" t="s">
        <v>1693</v>
      </c>
      <c r="M167" s="73">
        <v>6204633900</v>
      </c>
      <c r="N167" s="7"/>
      <c r="O167" s="74" t="s">
        <v>94</v>
      </c>
      <c r="P167">
        <v>1</v>
      </c>
    </row>
    <row r="168" spans="1:16" customFormat="1" ht="15">
      <c r="A168" s="68" t="str">
        <f>LEFT(M168,4)</f>
        <v>6204</v>
      </c>
      <c r="B168" s="68" t="str">
        <f t="shared" si="2"/>
        <v>КОМБИНЕЗОН Без товарного знака жен. Артикул 4318 цвет черный р. 56</v>
      </c>
      <c r="C168" s="69" t="s">
        <v>1690</v>
      </c>
      <c r="D168" s="70" t="s">
        <v>55</v>
      </c>
      <c r="E168" s="70">
        <v>4318</v>
      </c>
      <c r="F168" s="70" t="s">
        <v>1729</v>
      </c>
      <c r="G168" s="72" t="s">
        <v>1727</v>
      </c>
      <c r="H168" s="70" t="s">
        <v>1692</v>
      </c>
      <c r="I168" s="70" t="s">
        <v>59</v>
      </c>
      <c r="J168" s="70">
        <v>56</v>
      </c>
      <c r="K168" s="71" t="s">
        <v>1730</v>
      </c>
      <c r="L168" s="71" t="s">
        <v>1730</v>
      </c>
      <c r="M168" s="73">
        <v>6204625900</v>
      </c>
      <c r="N168" s="7"/>
      <c r="O168" s="74" t="s">
        <v>94</v>
      </c>
      <c r="P168">
        <v>1</v>
      </c>
    </row>
    <row r="169" spans="1:16" customFormat="1" ht="15">
      <c r="A169" s="68" t="str">
        <f>LEFT(M169,4)</f>
        <v>6204</v>
      </c>
      <c r="B169" s="68" t="str">
        <f t="shared" si="2"/>
        <v>КОМБИНЕЗОН Без товарного знака жен. Артикул 148 цвет электрик р. 50</v>
      </c>
      <c r="C169" s="69" t="s">
        <v>1690</v>
      </c>
      <c r="D169" s="70" t="s">
        <v>55</v>
      </c>
      <c r="E169" s="71">
        <v>148</v>
      </c>
      <c r="F169" s="70" t="s">
        <v>1729</v>
      </c>
      <c r="G169" s="72" t="s">
        <v>1699</v>
      </c>
      <c r="H169" s="70" t="s">
        <v>1692</v>
      </c>
      <c r="I169" s="70" t="s">
        <v>59</v>
      </c>
      <c r="J169" s="70">
        <v>50</v>
      </c>
      <c r="K169" s="71" t="s">
        <v>1731</v>
      </c>
      <c r="L169" s="71" t="s">
        <v>1731</v>
      </c>
      <c r="M169" s="73">
        <v>6204633900</v>
      </c>
      <c r="N169" s="7"/>
      <c r="O169" s="74" t="s">
        <v>94</v>
      </c>
      <c r="P169">
        <v>1</v>
      </c>
    </row>
    <row r="170" spans="1:16" customFormat="1" ht="15">
      <c r="A170" s="68" t="str">
        <f>LEFT(M170,4)</f>
        <v>6204</v>
      </c>
      <c r="B170" s="68" t="str">
        <f t="shared" si="2"/>
        <v>КОМБИНЕЗОН Без товарного знака жен. Артикул 148 цвет электрик р. 52</v>
      </c>
      <c r="C170" s="69" t="s">
        <v>1690</v>
      </c>
      <c r="D170" s="70" t="s">
        <v>55</v>
      </c>
      <c r="E170" s="71">
        <v>148</v>
      </c>
      <c r="F170" s="70" t="s">
        <v>1729</v>
      </c>
      <c r="G170" s="72" t="s">
        <v>1699</v>
      </c>
      <c r="H170" s="70" t="s">
        <v>1692</v>
      </c>
      <c r="I170" s="70" t="s">
        <v>59</v>
      </c>
      <c r="J170" s="70">
        <v>52</v>
      </c>
      <c r="K170" s="71" t="s">
        <v>1731</v>
      </c>
      <c r="L170" s="71" t="s">
        <v>1731</v>
      </c>
      <c r="M170" s="73">
        <v>6204633900</v>
      </c>
      <c r="N170" s="7"/>
      <c r="O170" s="74" t="s">
        <v>94</v>
      </c>
      <c r="P170">
        <v>1</v>
      </c>
    </row>
    <row r="171" spans="1:16" customFormat="1" ht="15">
      <c r="A171" s="68" t="str">
        <f>LEFT(M171,4)</f>
        <v>6204</v>
      </c>
      <c r="B171" s="68" t="str">
        <f t="shared" si="2"/>
        <v>КОМБИНЕЗОН Без товарного знака жен. Артикул 148 цвет электрик р. 54</v>
      </c>
      <c r="C171" s="69" t="s">
        <v>1690</v>
      </c>
      <c r="D171" s="70" t="s">
        <v>55</v>
      </c>
      <c r="E171" s="71">
        <v>148</v>
      </c>
      <c r="F171" s="70" t="s">
        <v>1729</v>
      </c>
      <c r="G171" s="72" t="s">
        <v>1699</v>
      </c>
      <c r="H171" s="70" t="s">
        <v>1692</v>
      </c>
      <c r="I171" s="70" t="s">
        <v>59</v>
      </c>
      <c r="J171" s="70">
        <v>54</v>
      </c>
      <c r="K171" s="71" t="s">
        <v>1731</v>
      </c>
      <c r="L171" s="71" t="s">
        <v>1731</v>
      </c>
      <c r="M171" s="73">
        <v>6204633900</v>
      </c>
      <c r="N171" s="7"/>
      <c r="O171" s="74" t="s">
        <v>94</v>
      </c>
      <c r="P171">
        <v>1</v>
      </c>
    </row>
    <row r="172" spans="1:16" customFormat="1" ht="15">
      <c r="A172" s="68" t="str">
        <f>LEFT(M172,4)</f>
        <v>6204</v>
      </c>
      <c r="B172" s="68" t="str">
        <f t="shared" si="2"/>
        <v>КОМБИНЕЗОН Без товарного знака жен. Артикул 148 цвет электрик р. 56</v>
      </c>
      <c r="C172" s="69" t="s">
        <v>1690</v>
      </c>
      <c r="D172" s="70" t="s">
        <v>55</v>
      </c>
      <c r="E172" s="71">
        <v>148</v>
      </c>
      <c r="F172" s="70" t="s">
        <v>1729</v>
      </c>
      <c r="G172" s="72" t="s">
        <v>1699</v>
      </c>
      <c r="H172" s="70" t="s">
        <v>1692</v>
      </c>
      <c r="I172" s="70" t="s">
        <v>59</v>
      </c>
      <c r="J172" s="70">
        <v>56</v>
      </c>
      <c r="K172" s="71" t="s">
        <v>1731</v>
      </c>
      <c r="L172" s="71" t="s">
        <v>1731</v>
      </c>
      <c r="M172" s="73">
        <v>6204633900</v>
      </c>
      <c r="N172" s="7"/>
      <c r="O172" s="74" t="s">
        <v>94</v>
      </c>
      <c r="P172">
        <v>1</v>
      </c>
    </row>
    <row r="173" spans="1:16" customFormat="1" ht="15">
      <c r="A173" s="68" t="str">
        <f>LEFT(M173,4)</f>
        <v>6204</v>
      </c>
      <c r="B173" s="68" t="str">
        <f t="shared" si="2"/>
        <v>КОМБИНЕЗОН Без товарного знака жен. Артикул 402 цвет электрик р. 54</v>
      </c>
      <c r="C173" s="69" t="s">
        <v>1690</v>
      </c>
      <c r="D173" s="70" t="s">
        <v>55</v>
      </c>
      <c r="E173" s="71">
        <v>402</v>
      </c>
      <c r="F173" s="70" t="s">
        <v>1729</v>
      </c>
      <c r="G173" s="72" t="s">
        <v>1699</v>
      </c>
      <c r="H173" s="70" t="s">
        <v>1692</v>
      </c>
      <c r="I173" s="70" t="s">
        <v>59</v>
      </c>
      <c r="J173" s="70">
        <v>54</v>
      </c>
      <c r="K173" s="71" t="s">
        <v>1731</v>
      </c>
      <c r="L173" s="71" t="s">
        <v>1731</v>
      </c>
      <c r="M173" s="73">
        <v>6204633900</v>
      </c>
      <c r="N173" s="7"/>
      <c r="O173" s="74" t="s">
        <v>94</v>
      </c>
      <c r="P173">
        <v>1</v>
      </c>
    </row>
    <row r="174" spans="1:16" customFormat="1" ht="15">
      <c r="A174" s="68" t="str">
        <f>LEFT(M174,4)</f>
        <v>6204</v>
      </c>
      <c r="B174" s="68" t="str">
        <f t="shared" si="2"/>
        <v>КОМБИНЕЗОН Без товарного знака жен. Артикул 402 цвет изумрудный р. 56</v>
      </c>
      <c r="C174" s="69" t="s">
        <v>1690</v>
      </c>
      <c r="D174" s="70" t="s">
        <v>55</v>
      </c>
      <c r="E174" s="71">
        <v>402</v>
      </c>
      <c r="F174" s="70" t="s">
        <v>1729</v>
      </c>
      <c r="G174" s="72" t="s">
        <v>1698</v>
      </c>
      <c r="H174" s="70" t="s">
        <v>1692</v>
      </c>
      <c r="I174" s="70" t="s">
        <v>59</v>
      </c>
      <c r="J174" s="70">
        <v>56</v>
      </c>
      <c r="K174" s="71" t="s">
        <v>1731</v>
      </c>
      <c r="L174" s="71" t="s">
        <v>1731</v>
      </c>
      <c r="M174" s="73">
        <v>6204633900</v>
      </c>
      <c r="N174" s="7"/>
      <c r="O174" s="74" t="s">
        <v>94</v>
      </c>
      <c r="P174">
        <v>1</v>
      </c>
    </row>
    <row r="175" spans="1:16" customFormat="1" ht="15">
      <c r="A175" s="68" t="str">
        <f>LEFT(M175,4)</f>
        <v>6204</v>
      </c>
      <c r="B175" s="68" t="str">
        <f t="shared" si="2"/>
        <v>КОСТЮМ Без товарного знака жен. Артикул 1775 цвет КОРАЛЛОВЫЙ р. 42</v>
      </c>
      <c r="C175" s="69" t="s">
        <v>1690</v>
      </c>
      <c r="D175" s="70" t="s">
        <v>55</v>
      </c>
      <c r="E175" s="71">
        <v>1775</v>
      </c>
      <c r="F175" s="70" t="s">
        <v>1732</v>
      </c>
      <c r="G175" s="72" t="s">
        <v>172</v>
      </c>
      <c r="H175" s="70" t="s">
        <v>1692</v>
      </c>
      <c r="I175" s="70" t="s">
        <v>59</v>
      </c>
      <c r="J175" s="70">
        <v>42</v>
      </c>
      <c r="K175" s="71" t="s">
        <v>1693</v>
      </c>
      <c r="L175" s="71" t="s">
        <v>1693</v>
      </c>
      <c r="M175" s="73">
        <v>6204130000</v>
      </c>
      <c r="N175" s="7"/>
      <c r="O175" s="74" t="s">
        <v>94</v>
      </c>
      <c r="P175">
        <v>1</v>
      </c>
    </row>
    <row r="176" spans="1:16" customFormat="1" ht="15">
      <c r="A176" s="68" t="str">
        <f>LEFT(M176,4)</f>
        <v>6204</v>
      </c>
      <c r="B176" s="68" t="str">
        <f t="shared" si="2"/>
        <v>КОСТЮМ Без товарного знака жен. Артикул 8693 цвет РАЗНОЦВЕТНЫЙ р. 64</v>
      </c>
      <c r="C176" s="69" t="s">
        <v>1690</v>
      </c>
      <c r="D176" s="70" t="s">
        <v>55</v>
      </c>
      <c r="E176" s="71">
        <v>8693</v>
      </c>
      <c r="F176" s="70" t="s">
        <v>1732</v>
      </c>
      <c r="G176" s="72" t="s">
        <v>229</v>
      </c>
      <c r="H176" s="70" t="s">
        <v>1692</v>
      </c>
      <c r="I176" s="70" t="s">
        <v>59</v>
      </c>
      <c r="J176" s="70">
        <v>64</v>
      </c>
      <c r="K176" s="71" t="s">
        <v>1733</v>
      </c>
      <c r="L176" s="71" t="s">
        <v>1733</v>
      </c>
      <c r="M176" s="73">
        <v>6204130000</v>
      </c>
      <c r="N176" s="7"/>
      <c r="O176" s="74" t="s">
        <v>59</v>
      </c>
      <c r="P176">
        <v>1</v>
      </c>
    </row>
    <row r="177" spans="1:16" customFormat="1" ht="15">
      <c r="A177" s="68" t="str">
        <f>LEFT(M177,4)</f>
        <v>6204</v>
      </c>
      <c r="B177" s="68" t="str">
        <f t="shared" si="2"/>
        <v>КОСТЮМ Без товарного знака жен. Артикул 7203 цвет РАЗНОЦВЕТНЫЙ р. 50</v>
      </c>
      <c r="C177" s="69" t="s">
        <v>1690</v>
      </c>
      <c r="D177" s="70" t="s">
        <v>55</v>
      </c>
      <c r="E177" s="71">
        <v>7203</v>
      </c>
      <c r="F177" s="70" t="s">
        <v>1732</v>
      </c>
      <c r="G177" s="72" t="s">
        <v>229</v>
      </c>
      <c r="H177" s="70" t="s">
        <v>1692</v>
      </c>
      <c r="I177" s="70" t="s">
        <v>59</v>
      </c>
      <c r="J177" s="70">
        <v>50</v>
      </c>
      <c r="K177" s="71" t="s">
        <v>1693</v>
      </c>
      <c r="L177" s="71" t="s">
        <v>1693</v>
      </c>
      <c r="M177" s="73">
        <v>6204130000</v>
      </c>
      <c r="N177" s="7"/>
      <c r="O177" s="74" t="s">
        <v>59</v>
      </c>
      <c r="P177">
        <v>1</v>
      </c>
    </row>
    <row r="178" spans="1:16" customFormat="1" ht="15">
      <c r="A178" s="68" t="str">
        <f>LEFT(M178,4)</f>
        <v>6204</v>
      </c>
      <c r="B178" s="68" t="str">
        <f t="shared" si="2"/>
        <v>КОСТЮМ Без товарного знака жен. Артикул 7203 цвет РАЗНОЦВЕТНЫЙ р. 52</v>
      </c>
      <c r="C178" s="69" t="s">
        <v>1690</v>
      </c>
      <c r="D178" s="70" t="s">
        <v>55</v>
      </c>
      <c r="E178" s="71">
        <v>7203</v>
      </c>
      <c r="F178" s="70" t="s">
        <v>1732</v>
      </c>
      <c r="G178" s="72" t="s">
        <v>229</v>
      </c>
      <c r="H178" s="70" t="s">
        <v>1692</v>
      </c>
      <c r="I178" s="70" t="s">
        <v>59</v>
      </c>
      <c r="J178" s="70">
        <v>52</v>
      </c>
      <c r="K178" s="71" t="s">
        <v>1693</v>
      </c>
      <c r="L178" s="71" t="s">
        <v>1693</v>
      </c>
      <c r="M178" s="73">
        <v>6204130000</v>
      </c>
      <c r="N178" s="7"/>
      <c r="O178" s="74" t="s">
        <v>59</v>
      </c>
      <c r="P178">
        <v>1</v>
      </c>
    </row>
    <row r="179" spans="1:16" customFormat="1" ht="15">
      <c r="A179" s="68" t="str">
        <f>LEFT(M179,4)</f>
        <v>6204</v>
      </c>
      <c r="B179" s="68" t="str">
        <f t="shared" si="2"/>
        <v>КОСТЮМ Без товарного знака жен. Артикул 7203 цвет РАЗНОЦВЕТНЫЙ р. 54</v>
      </c>
      <c r="C179" s="69" t="s">
        <v>1690</v>
      </c>
      <c r="D179" s="70" t="s">
        <v>55</v>
      </c>
      <c r="E179" s="71">
        <v>7203</v>
      </c>
      <c r="F179" s="70" t="s">
        <v>1732</v>
      </c>
      <c r="G179" s="72" t="s">
        <v>229</v>
      </c>
      <c r="H179" s="70" t="s">
        <v>1692</v>
      </c>
      <c r="I179" s="70" t="s">
        <v>59</v>
      </c>
      <c r="J179" s="70">
        <v>54</v>
      </c>
      <c r="K179" s="71" t="s">
        <v>1693</v>
      </c>
      <c r="L179" s="71" t="s">
        <v>1693</v>
      </c>
      <c r="M179" s="73">
        <v>6204130000</v>
      </c>
      <c r="N179" s="7"/>
      <c r="O179" s="74" t="s">
        <v>59</v>
      </c>
      <c r="P179">
        <v>1</v>
      </c>
    </row>
    <row r="180" spans="1:16" customFormat="1" ht="15">
      <c r="A180" s="68" t="str">
        <f>LEFT(M180,4)</f>
        <v>6204</v>
      </c>
      <c r="B180" s="68" t="str">
        <f t="shared" si="2"/>
        <v>КОСТЮМ Без товарного знака жен. Артикул 7203 цвет РАЗНОЦВЕТНЫЙ р. 56</v>
      </c>
      <c r="C180" s="69" t="s">
        <v>1690</v>
      </c>
      <c r="D180" s="70" t="s">
        <v>55</v>
      </c>
      <c r="E180" s="71">
        <v>7203</v>
      </c>
      <c r="F180" s="70" t="s">
        <v>1732</v>
      </c>
      <c r="G180" s="72" t="s">
        <v>229</v>
      </c>
      <c r="H180" s="70" t="s">
        <v>1692</v>
      </c>
      <c r="I180" s="70" t="s">
        <v>59</v>
      </c>
      <c r="J180" s="70">
        <v>56</v>
      </c>
      <c r="K180" s="71" t="s">
        <v>1693</v>
      </c>
      <c r="L180" s="71" t="s">
        <v>1693</v>
      </c>
      <c r="M180" s="73">
        <v>6204130000</v>
      </c>
      <c r="N180" s="7"/>
      <c r="O180" s="74" t="s">
        <v>59</v>
      </c>
      <c r="P180">
        <v>1</v>
      </c>
    </row>
    <row r="181" spans="1:16" customFormat="1" ht="15.75">
      <c r="A181" s="68" t="str">
        <f>LEFT(M181,4)</f>
        <v>6204</v>
      </c>
      <c r="B181" s="68" t="str">
        <f t="shared" si="2"/>
        <v>КОСТЮМ Без товарного знака жен. Артикул 03 цвет зеленый р. 48</v>
      </c>
      <c r="C181" s="69" t="s">
        <v>1690</v>
      </c>
      <c r="D181" s="70" t="s">
        <v>55</v>
      </c>
      <c r="E181" s="77" t="s">
        <v>1734</v>
      </c>
      <c r="F181" s="70" t="s">
        <v>1732</v>
      </c>
      <c r="G181" s="75" t="s">
        <v>1735</v>
      </c>
      <c r="H181" s="70" t="s">
        <v>1692</v>
      </c>
      <c r="I181" s="70" t="s">
        <v>59</v>
      </c>
      <c r="J181" s="70">
        <v>48</v>
      </c>
      <c r="K181" s="71" t="s">
        <v>1736</v>
      </c>
      <c r="L181" s="71" t="s">
        <v>1736</v>
      </c>
      <c r="M181" s="73">
        <v>6204120000</v>
      </c>
      <c r="N181" s="7"/>
      <c r="O181" s="74" t="s">
        <v>94</v>
      </c>
      <c r="P181">
        <v>1</v>
      </c>
    </row>
    <row r="182" spans="1:16" customFormat="1" ht="15.75">
      <c r="A182" s="68" t="str">
        <f>LEFT(M182,4)</f>
        <v>6204</v>
      </c>
      <c r="B182" s="68" t="str">
        <f t="shared" si="2"/>
        <v>КОСТЮМ Без товарного знака жен. Артикул 03 цвет зеленый р. 50</v>
      </c>
      <c r="C182" s="69" t="s">
        <v>1690</v>
      </c>
      <c r="D182" s="70" t="s">
        <v>55</v>
      </c>
      <c r="E182" s="77" t="s">
        <v>1734</v>
      </c>
      <c r="F182" s="70" t="s">
        <v>1732</v>
      </c>
      <c r="G182" s="75" t="s">
        <v>1735</v>
      </c>
      <c r="H182" s="70" t="s">
        <v>1692</v>
      </c>
      <c r="I182" s="70" t="s">
        <v>59</v>
      </c>
      <c r="J182" s="70">
        <v>50</v>
      </c>
      <c r="K182" s="71" t="s">
        <v>1736</v>
      </c>
      <c r="L182" s="71" t="s">
        <v>1736</v>
      </c>
      <c r="M182" s="73">
        <v>6204120000</v>
      </c>
      <c r="N182" s="7"/>
      <c r="O182" s="74" t="s">
        <v>94</v>
      </c>
      <c r="P182">
        <v>1</v>
      </c>
    </row>
    <row r="183" spans="1:16" customFormat="1" ht="15.75">
      <c r="A183" s="68" t="str">
        <f>LEFT(M183,4)</f>
        <v>6204</v>
      </c>
      <c r="B183" s="68" t="str">
        <f t="shared" si="2"/>
        <v>КОСТЮМ Без товарного знака жен. Артикул 03 цвет зеленый р. 52</v>
      </c>
      <c r="C183" s="69" t="s">
        <v>1690</v>
      </c>
      <c r="D183" s="70" t="s">
        <v>55</v>
      </c>
      <c r="E183" s="77" t="s">
        <v>1734</v>
      </c>
      <c r="F183" s="70" t="s">
        <v>1732</v>
      </c>
      <c r="G183" s="75" t="s">
        <v>1735</v>
      </c>
      <c r="H183" s="70" t="s">
        <v>1692</v>
      </c>
      <c r="I183" s="70" t="s">
        <v>59</v>
      </c>
      <c r="J183" s="70">
        <v>52</v>
      </c>
      <c r="K183" s="71" t="s">
        <v>1736</v>
      </c>
      <c r="L183" s="71" t="s">
        <v>1736</v>
      </c>
      <c r="M183" s="73">
        <v>6204120000</v>
      </c>
      <c r="N183" s="7"/>
      <c r="O183" s="74" t="s">
        <v>94</v>
      </c>
      <c r="P183">
        <v>1</v>
      </c>
    </row>
    <row r="184" spans="1:16" customFormat="1" ht="15">
      <c r="A184" s="68" t="str">
        <f>LEFT(M184,4)</f>
        <v>6204</v>
      </c>
      <c r="B184" s="68" t="str">
        <f t="shared" si="2"/>
        <v>КОСТЮМ Без товарного знака жен. Артикул 7532 цвет лиловый р. 50</v>
      </c>
      <c r="C184" s="69" t="s">
        <v>1690</v>
      </c>
      <c r="D184" s="70" t="s">
        <v>55</v>
      </c>
      <c r="E184" s="71">
        <v>7532</v>
      </c>
      <c r="F184" s="70" t="s">
        <v>1732</v>
      </c>
      <c r="G184" s="72" t="s">
        <v>1717</v>
      </c>
      <c r="H184" s="70" t="s">
        <v>1692</v>
      </c>
      <c r="I184" s="70" t="s">
        <v>59</v>
      </c>
      <c r="J184" s="70">
        <v>50</v>
      </c>
      <c r="K184" s="71" t="s">
        <v>1737</v>
      </c>
      <c r="L184" s="71" t="s">
        <v>1737</v>
      </c>
      <c r="M184" s="73">
        <v>6204120000</v>
      </c>
      <c r="N184" s="7"/>
      <c r="O184" s="74" t="s">
        <v>94</v>
      </c>
      <c r="P184">
        <v>1</v>
      </c>
    </row>
    <row r="185" spans="1:16" customFormat="1" ht="15">
      <c r="A185" s="68" t="str">
        <f>LEFT(M185,4)</f>
        <v>6204</v>
      </c>
      <c r="B185" s="68" t="str">
        <f t="shared" si="2"/>
        <v>КОСТЮМ Без товарного знака жен. Артикул 7532 цвет лиловый р. 52</v>
      </c>
      <c r="C185" s="69" t="s">
        <v>1690</v>
      </c>
      <c r="D185" s="70" t="s">
        <v>55</v>
      </c>
      <c r="E185" s="71">
        <v>7532</v>
      </c>
      <c r="F185" s="70" t="s">
        <v>1732</v>
      </c>
      <c r="G185" s="72" t="s">
        <v>1717</v>
      </c>
      <c r="H185" s="70" t="s">
        <v>1692</v>
      </c>
      <c r="I185" s="70" t="s">
        <v>59</v>
      </c>
      <c r="J185" s="70">
        <v>52</v>
      </c>
      <c r="K185" s="71" t="s">
        <v>1737</v>
      </c>
      <c r="L185" s="71" t="s">
        <v>1737</v>
      </c>
      <c r="M185" s="73">
        <v>6204120000</v>
      </c>
      <c r="N185" s="7"/>
      <c r="O185" s="74" t="s">
        <v>94</v>
      </c>
      <c r="P185">
        <v>1</v>
      </c>
    </row>
    <row r="186" spans="1:16" customFormat="1" ht="15">
      <c r="A186" s="68" t="str">
        <f>LEFT(M186,4)</f>
        <v>6204</v>
      </c>
      <c r="B186" s="68" t="str">
        <f t="shared" si="2"/>
        <v>КОСТЮМ Без товарного знака жен. Артикул 1108 цвет голубой р. 50</v>
      </c>
      <c r="C186" s="69" t="s">
        <v>1690</v>
      </c>
      <c r="D186" s="70" t="s">
        <v>55</v>
      </c>
      <c r="E186" s="71">
        <v>1108</v>
      </c>
      <c r="F186" s="70" t="s">
        <v>1732</v>
      </c>
      <c r="G186" s="72" t="s">
        <v>1708</v>
      </c>
      <c r="H186" s="70" t="s">
        <v>1692</v>
      </c>
      <c r="I186" s="70" t="s">
        <v>59</v>
      </c>
      <c r="J186" s="70">
        <v>50</v>
      </c>
      <c r="K186" s="71" t="s">
        <v>1693</v>
      </c>
      <c r="L186" s="71" t="s">
        <v>1693</v>
      </c>
      <c r="M186" s="73">
        <v>6204130000</v>
      </c>
      <c r="N186" s="7"/>
      <c r="O186" s="74" t="s">
        <v>94</v>
      </c>
      <c r="P186">
        <v>1</v>
      </c>
    </row>
    <row r="187" spans="1:16" customFormat="1" ht="15">
      <c r="A187" s="68" t="str">
        <f>LEFT(M187,4)</f>
        <v>6204</v>
      </c>
      <c r="B187" s="68" t="str">
        <f t="shared" si="2"/>
        <v>КОСТЮМ Без товарного знака жен. Артикул 1108 цвет голубой р. 52</v>
      </c>
      <c r="C187" s="69" t="s">
        <v>1690</v>
      </c>
      <c r="D187" s="70" t="s">
        <v>55</v>
      </c>
      <c r="E187" s="71">
        <v>1108</v>
      </c>
      <c r="F187" s="70" t="s">
        <v>1732</v>
      </c>
      <c r="G187" s="72" t="s">
        <v>1708</v>
      </c>
      <c r="H187" s="70" t="s">
        <v>1692</v>
      </c>
      <c r="I187" s="70" t="s">
        <v>59</v>
      </c>
      <c r="J187" s="70">
        <v>52</v>
      </c>
      <c r="K187" s="71" t="s">
        <v>1693</v>
      </c>
      <c r="L187" s="71" t="s">
        <v>1693</v>
      </c>
      <c r="M187" s="73">
        <v>6204130000</v>
      </c>
      <c r="N187" s="7"/>
      <c r="O187" s="74" t="s">
        <v>94</v>
      </c>
      <c r="P187">
        <v>1</v>
      </c>
    </row>
    <row r="188" spans="1:16" customFormat="1" ht="15">
      <c r="A188" s="68" t="str">
        <f>LEFT(M188,4)</f>
        <v>6204</v>
      </c>
      <c r="B188" s="68" t="str">
        <f t="shared" si="2"/>
        <v>КОСТЮМ Без товарного знака жен. Артикул 1108 цвет голубой р. 54</v>
      </c>
      <c r="C188" s="69" t="s">
        <v>1690</v>
      </c>
      <c r="D188" s="70" t="s">
        <v>55</v>
      </c>
      <c r="E188" s="71">
        <v>1108</v>
      </c>
      <c r="F188" s="70" t="s">
        <v>1732</v>
      </c>
      <c r="G188" s="72" t="s">
        <v>1708</v>
      </c>
      <c r="H188" s="70" t="s">
        <v>1692</v>
      </c>
      <c r="I188" s="70" t="s">
        <v>59</v>
      </c>
      <c r="J188" s="70">
        <v>54</v>
      </c>
      <c r="K188" s="71" t="s">
        <v>1693</v>
      </c>
      <c r="L188" s="71" t="s">
        <v>1693</v>
      </c>
      <c r="M188" s="73">
        <v>6204130000</v>
      </c>
      <c r="N188" s="7"/>
      <c r="O188" s="74" t="s">
        <v>94</v>
      </c>
      <c r="P188">
        <v>1</v>
      </c>
    </row>
    <row r="189" spans="1:16" customFormat="1" ht="15">
      <c r="A189" s="68" t="str">
        <f>LEFT(M189,4)</f>
        <v>6204</v>
      </c>
      <c r="B189" s="68" t="str">
        <f t="shared" si="2"/>
        <v>КОСТЮМ Без товарного знака жен. Артикул 1108 цвет голубой р. 56</v>
      </c>
      <c r="C189" s="69" t="s">
        <v>1690</v>
      </c>
      <c r="D189" s="70" t="s">
        <v>55</v>
      </c>
      <c r="E189" s="71">
        <v>1108</v>
      </c>
      <c r="F189" s="70" t="s">
        <v>1732</v>
      </c>
      <c r="G189" s="72" t="s">
        <v>1708</v>
      </c>
      <c r="H189" s="70" t="s">
        <v>1692</v>
      </c>
      <c r="I189" s="70" t="s">
        <v>59</v>
      </c>
      <c r="J189" s="70">
        <v>56</v>
      </c>
      <c r="K189" s="71" t="s">
        <v>1693</v>
      </c>
      <c r="L189" s="71" t="s">
        <v>1693</v>
      </c>
      <c r="M189" s="73">
        <v>6204130000</v>
      </c>
      <c r="N189" s="7"/>
      <c r="O189" s="74" t="s">
        <v>94</v>
      </c>
      <c r="P189">
        <v>1</v>
      </c>
    </row>
    <row r="190" spans="1:16" customFormat="1" ht="15">
      <c r="A190" s="68" t="str">
        <f>LEFT(M190,4)</f>
        <v>6204</v>
      </c>
      <c r="B190" s="68" t="str">
        <f t="shared" si="2"/>
        <v>КОСТЮМ Без товарного знака жен. Артикул 4923 цвет электрик р. 52</v>
      </c>
      <c r="C190" s="69" t="s">
        <v>1690</v>
      </c>
      <c r="D190" s="70" t="s">
        <v>55</v>
      </c>
      <c r="E190" s="71">
        <v>4923</v>
      </c>
      <c r="F190" s="70" t="s">
        <v>1732</v>
      </c>
      <c r="G190" s="72" t="s">
        <v>1699</v>
      </c>
      <c r="H190" s="70" t="s">
        <v>1692</v>
      </c>
      <c r="I190" s="70" t="s">
        <v>59</v>
      </c>
      <c r="J190" s="70">
        <v>52</v>
      </c>
      <c r="K190" s="71" t="s">
        <v>1737</v>
      </c>
      <c r="L190" s="71" t="s">
        <v>1737</v>
      </c>
      <c r="M190" s="73">
        <v>6204120000</v>
      </c>
      <c r="N190" s="7"/>
      <c r="O190" s="74" t="s">
        <v>94</v>
      </c>
      <c r="P190">
        <v>1</v>
      </c>
    </row>
    <row r="191" spans="1:16" customFormat="1" ht="15">
      <c r="A191" s="68" t="str">
        <f>LEFT(M191,4)</f>
        <v>6204</v>
      </c>
      <c r="B191" s="68" t="str">
        <f t="shared" si="2"/>
        <v>КОСТЮМ Без товарного знака жен. Артикул 4923 цвет электрик р. 54</v>
      </c>
      <c r="C191" s="69" t="s">
        <v>1690</v>
      </c>
      <c r="D191" s="70" t="s">
        <v>55</v>
      </c>
      <c r="E191" s="71">
        <v>4923</v>
      </c>
      <c r="F191" s="70" t="s">
        <v>1732</v>
      </c>
      <c r="G191" s="72" t="s">
        <v>1699</v>
      </c>
      <c r="H191" s="70" t="s">
        <v>1692</v>
      </c>
      <c r="I191" s="70" t="s">
        <v>59</v>
      </c>
      <c r="J191" s="70">
        <v>54</v>
      </c>
      <c r="K191" s="71" t="s">
        <v>1737</v>
      </c>
      <c r="L191" s="71" t="s">
        <v>1737</v>
      </c>
      <c r="M191" s="73">
        <v>6204120000</v>
      </c>
      <c r="N191" s="7"/>
      <c r="O191" s="74" t="s">
        <v>94</v>
      </c>
      <c r="P191">
        <v>1</v>
      </c>
    </row>
    <row r="192" spans="1:16" customFormat="1" ht="15">
      <c r="A192" s="68" t="str">
        <f>LEFT(M192,4)</f>
        <v>6204</v>
      </c>
      <c r="B192" s="68" t="str">
        <f t="shared" si="2"/>
        <v>КОСТЮМ Без товарного знака жен. Артикул 6038 цвет РАЗНОЦВЕТНЫЙ р. 48</v>
      </c>
      <c r="C192" s="69" t="s">
        <v>1690</v>
      </c>
      <c r="D192" s="70" t="s">
        <v>55</v>
      </c>
      <c r="E192" s="71">
        <v>6038</v>
      </c>
      <c r="F192" s="70" t="s">
        <v>1732</v>
      </c>
      <c r="G192" s="72" t="s">
        <v>229</v>
      </c>
      <c r="H192" s="70" t="s">
        <v>1692</v>
      </c>
      <c r="I192" s="70" t="s">
        <v>59</v>
      </c>
      <c r="J192" s="70">
        <v>48</v>
      </c>
      <c r="K192" s="71" t="s">
        <v>1693</v>
      </c>
      <c r="L192" s="71" t="s">
        <v>1693</v>
      </c>
      <c r="M192" s="73">
        <v>6204130000</v>
      </c>
      <c r="N192" s="7"/>
      <c r="O192" s="74" t="s">
        <v>94</v>
      </c>
      <c r="P192">
        <v>1</v>
      </c>
    </row>
    <row r="193" spans="1:16" customFormat="1" ht="15">
      <c r="A193" s="68" t="str">
        <f>LEFT(M193,4)</f>
        <v>6204</v>
      </c>
      <c r="B193" s="68" t="str">
        <f t="shared" si="2"/>
        <v>КОСТЮМ Без товарного знака жен. Артикул 6038 цвет РАЗНОЦВЕТНЫЙ р. 50</v>
      </c>
      <c r="C193" s="69" t="s">
        <v>1690</v>
      </c>
      <c r="D193" s="70" t="s">
        <v>55</v>
      </c>
      <c r="E193" s="71">
        <v>6038</v>
      </c>
      <c r="F193" s="70" t="s">
        <v>1732</v>
      </c>
      <c r="G193" s="72" t="s">
        <v>229</v>
      </c>
      <c r="H193" s="70" t="s">
        <v>1692</v>
      </c>
      <c r="I193" s="70" t="s">
        <v>59</v>
      </c>
      <c r="J193" s="70">
        <v>50</v>
      </c>
      <c r="K193" s="71" t="s">
        <v>1693</v>
      </c>
      <c r="L193" s="71" t="s">
        <v>1693</v>
      </c>
      <c r="M193" s="73">
        <v>6204130000</v>
      </c>
      <c r="N193" s="7"/>
      <c r="O193" s="74" t="s">
        <v>94</v>
      </c>
      <c r="P193">
        <v>1</v>
      </c>
    </row>
    <row r="194" spans="1:16" customFormat="1" ht="15">
      <c r="A194" s="68" t="str">
        <f>LEFT(M194,4)</f>
        <v>6204</v>
      </c>
      <c r="B194" s="68" t="str">
        <f t="shared" si="2"/>
        <v>КОСТЮМ Без товарного знака жен. Артикул 6038 цвет РАЗНОЦВЕТНЫЙ р. 54</v>
      </c>
      <c r="C194" s="69" t="s">
        <v>1690</v>
      </c>
      <c r="D194" s="70" t="s">
        <v>55</v>
      </c>
      <c r="E194" s="71">
        <v>6038</v>
      </c>
      <c r="F194" s="70" t="s">
        <v>1732</v>
      </c>
      <c r="G194" s="72" t="s">
        <v>229</v>
      </c>
      <c r="H194" s="70" t="s">
        <v>1692</v>
      </c>
      <c r="I194" s="70" t="s">
        <v>59</v>
      </c>
      <c r="J194" s="70">
        <v>54</v>
      </c>
      <c r="K194" s="71" t="s">
        <v>1693</v>
      </c>
      <c r="L194" s="71" t="s">
        <v>1693</v>
      </c>
      <c r="M194" s="73">
        <v>6204130000</v>
      </c>
      <c r="N194" s="7"/>
      <c r="O194" s="74" t="s">
        <v>94</v>
      </c>
      <c r="P194">
        <v>1</v>
      </c>
    </row>
    <row r="195" spans="1:16" customFormat="1" ht="15">
      <c r="A195" s="68" t="str">
        <f>LEFT(M195,4)</f>
        <v>6204</v>
      </c>
      <c r="B195" s="68" t="str">
        <f t="shared" si="2"/>
        <v>КОСТЮМ Без товарного знака жен. Артикул 3031 цвет РАЗНОЦВЕТНЫЙ р. 50</v>
      </c>
      <c r="C195" s="69" t="s">
        <v>1690</v>
      </c>
      <c r="D195" s="70" t="s">
        <v>55</v>
      </c>
      <c r="E195" s="71">
        <v>3031</v>
      </c>
      <c r="F195" s="70" t="s">
        <v>1732</v>
      </c>
      <c r="G195" s="72" t="s">
        <v>229</v>
      </c>
      <c r="H195" s="70" t="s">
        <v>1692</v>
      </c>
      <c r="I195" s="70" t="s">
        <v>59</v>
      </c>
      <c r="J195" s="70">
        <v>50</v>
      </c>
      <c r="K195" s="71" t="s">
        <v>1738</v>
      </c>
      <c r="L195" s="71" t="s">
        <v>1738</v>
      </c>
      <c r="M195" s="73">
        <v>6204120000</v>
      </c>
      <c r="N195" s="7"/>
      <c r="O195" s="74" t="s">
        <v>94</v>
      </c>
      <c r="P195">
        <v>1</v>
      </c>
    </row>
    <row r="196" spans="1:16" customFormat="1" ht="15.75">
      <c r="A196" s="68" t="str">
        <f>LEFT(M196,4)</f>
        <v>6204</v>
      </c>
      <c r="B196" s="68" t="str">
        <f t="shared" si="2"/>
        <v>КОСТЮМ Без товарного знака жен. Артикул 0638 цвет РАЗНОЦВЕТНЫЙ р. 48</v>
      </c>
      <c r="C196" s="69" t="s">
        <v>1690</v>
      </c>
      <c r="D196" s="70" t="s">
        <v>55</v>
      </c>
      <c r="E196" s="77" t="s">
        <v>1739</v>
      </c>
      <c r="F196" s="70" t="s">
        <v>1732</v>
      </c>
      <c r="G196" s="72" t="s">
        <v>229</v>
      </c>
      <c r="H196" s="70" t="s">
        <v>1692</v>
      </c>
      <c r="I196" s="70" t="s">
        <v>59</v>
      </c>
      <c r="J196" s="70">
        <v>48</v>
      </c>
      <c r="K196" s="71" t="s">
        <v>1737</v>
      </c>
      <c r="L196" s="71" t="s">
        <v>1737</v>
      </c>
      <c r="M196" s="73">
        <v>6204120000</v>
      </c>
      <c r="N196" s="7"/>
      <c r="O196" s="74" t="s">
        <v>94</v>
      </c>
      <c r="P196">
        <v>1</v>
      </c>
    </row>
    <row r="197" spans="1:16" customFormat="1" ht="15">
      <c r="A197" s="68" t="str">
        <f>LEFT(M197,4)</f>
        <v>6204</v>
      </c>
      <c r="B197" s="68" t="str">
        <f t="shared" si="2"/>
        <v>КОСТЮМ Без товарного знака жен. Артикул 3009 цвет голубой р. 42</v>
      </c>
      <c r="C197" s="69" t="s">
        <v>1690</v>
      </c>
      <c r="D197" s="70" t="s">
        <v>55</v>
      </c>
      <c r="E197" s="71">
        <v>3009</v>
      </c>
      <c r="F197" s="70" t="s">
        <v>1732</v>
      </c>
      <c r="G197" s="72" t="s">
        <v>1708</v>
      </c>
      <c r="H197" s="70" t="s">
        <v>1692</v>
      </c>
      <c r="I197" s="70" t="s">
        <v>59</v>
      </c>
      <c r="J197" s="70">
        <v>42</v>
      </c>
      <c r="K197" s="71" t="s">
        <v>1737</v>
      </c>
      <c r="L197" s="71" t="s">
        <v>1737</v>
      </c>
      <c r="M197" s="73">
        <v>6204120000</v>
      </c>
      <c r="N197" s="7"/>
      <c r="O197" s="74" t="s">
        <v>94</v>
      </c>
      <c r="P197">
        <v>1</v>
      </c>
    </row>
    <row r="198" spans="1:16" customFormat="1" ht="15">
      <c r="A198" s="68" t="str">
        <f>LEFT(M198,4)</f>
        <v>6204</v>
      </c>
      <c r="B198" s="68" t="str">
        <f t="shared" si="2"/>
        <v>КОСТЮМ Без товарного знака жен. Артикул 3009 цвет голубой р. 48</v>
      </c>
      <c r="C198" s="69" t="s">
        <v>1690</v>
      </c>
      <c r="D198" s="70" t="s">
        <v>55</v>
      </c>
      <c r="E198" s="71">
        <v>3009</v>
      </c>
      <c r="F198" s="70" t="s">
        <v>1732</v>
      </c>
      <c r="G198" s="72" t="s">
        <v>1708</v>
      </c>
      <c r="H198" s="70" t="s">
        <v>1692</v>
      </c>
      <c r="I198" s="70" t="s">
        <v>59</v>
      </c>
      <c r="J198" s="70">
        <v>48</v>
      </c>
      <c r="K198" s="71" t="s">
        <v>1737</v>
      </c>
      <c r="L198" s="71" t="s">
        <v>1737</v>
      </c>
      <c r="M198" s="73">
        <v>6204120000</v>
      </c>
      <c r="N198" s="7"/>
      <c r="O198" s="74" t="s">
        <v>94</v>
      </c>
      <c r="P198">
        <v>1</v>
      </c>
    </row>
    <row r="199" spans="1:16" customFormat="1" ht="15">
      <c r="A199" s="68" t="str">
        <f>LEFT(M199,4)</f>
        <v>6204</v>
      </c>
      <c r="B199" s="68" t="str">
        <f t="shared" si="2"/>
        <v>КОСТЮМ Без товарного знака жен. Артикул 7547 цвет РАЗНОЦВЕТНЫЙ р. 52</v>
      </c>
      <c r="C199" s="69" t="s">
        <v>1690</v>
      </c>
      <c r="D199" s="70" t="s">
        <v>55</v>
      </c>
      <c r="E199" s="71">
        <v>7547</v>
      </c>
      <c r="F199" s="70" t="s">
        <v>1732</v>
      </c>
      <c r="G199" s="72" t="s">
        <v>229</v>
      </c>
      <c r="H199" s="70" t="s">
        <v>1692</v>
      </c>
      <c r="I199" s="70" t="s">
        <v>59</v>
      </c>
      <c r="J199" s="70">
        <v>52</v>
      </c>
      <c r="K199" s="71" t="s">
        <v>1693</v>
      </c>
      <c r="L199" s="71" t="s">
        <v>1693</v>
      </c>
      <c r="M199" s="73">
        <v>6204130000</v>
      </c>
      <c r="N199" s="7"/>
      <c r="O199" s="74" t="s">
        <v>94</v>
      </c>
      <c r="P199">
        <v>1</v>
      </c>
    </row>
    <row r="200" spans="1:16" customFormat="1" ht="15">
      <c r="A200" s="68" t="str">
        <f>LEFT(M200,4)</f>
        <v>6204</v>
      </c>
      <c r="B200" s="68" t="str">
        <f t="shared" si="2"/>
        <v>КОСТЮМ Без товарного знака жен. Артикул 7547 цвет РАЗНОЦВЕТНЫЙ р. 54</v>
      </c>
      <c r="C200" s="69" t="s">
        <v>1690</v>
      </c>
      <c r="D200" s="70" t="s">
        <v>55</v>
      </c>
      <c r="E200" s="71">
        <v>7547</v>
      </c>
      <c r="F200" s="70" t="s">
        <v>1732</v>
      </c>
      <c r="G200" s="72" t="s">
        <v>229</v>
      </c>
      <c r="H200" s="70" t="s">
        <v>1692</v>
      </c>
      <c r="I200" s="70" t="s">
        <v>59</v>
      </c>
      <c r="J200" s="70">
        <v>54</v>
      </c>
      <c r="K200" s="71" t="s">
        <v>1693</v>
      </c>
      <c r="L200" s="71" t="s">
        <v>1693</v>
      </c>
      <c r="M200" s="73">
        <v>6204130000</v>
      </c>
      <c r="N200" s="7"/>
      <c r="O200" s="74" t="s">
        <v>94</v>
      </c>
      <c r="P200">
        <v>1</v>
      </c>
    </row>
    <row r="201" spans="1:16" customFormat="1" ht="15">
      <c r="A201" s="68" t="str">
        <f>LEFT(M201,4)</f>
        <v>6204</v>
      </c>
      <c r="B201" s="68" t="str">
        <f t="shared" si="2"/>
        <v>КОСТЮМ Без товарного знака жен. Артикул 7547 цвет РАЗНОЦВЕТНЫЙ р. 56</v>
      </c>
      <c r="C201" s="69" t="s">
        <v>1690</v>
      </c>
      <c r="D201" s="70" t="s">
        <v>55</v>
      </c>
      <c r="E201" s="71">
        <v>7547</v>
      </c>
      <c r="F201" s="70" t="s">
        <v>1732</v>
      </c>
      <c r="G201" s="72" t="s">
        <v>229</v>
      </c>
      <c r="H201" s="70" t="s">
        <v>1692</v>
      </c>
      <c r="I201" s="70" t="s">
        <v>59</v>
      </c>
      <c r="J201" s="70">
        <v>56</v>
      </c>
      <c r="K201" s="71" t="s">
        <v>1693</v>
      </c>
      <c r="L201" s="71" t="s">
        <v>1693</v>
      </c>
      <c r="M201" s="73">
        <v>6204130000</v>
      </c>
      <c r="N201" s="7"/>
      <c r="O201" s="74" t="s">
        <v>94</v>
      </c>
      <c r="P201">
        <v>1</v>
      </c>
    </row>
    <row r="202" spans="1:16" customFormat="1" ht="15">
      <c r="A202" s="68" t="str">
        <f>LEFT(M202,4)</f>
        <v>6204</v>
      </c>
      <c r="B202" s="68" t="str">
        <f t="shared" si="2"/>
        <v>КОСТЮМ Без товарного знака жен. Артикул 7547 цвет РАЗНОЦВЕТНЫЙ р. 58</v>
      </c>
      <c r="C202" s="69" t="s">
        <v>1690</v>
      </c>
      <c r="D202" s="70" t="s">
        <v>55</v>
      </c>
      <c r="E202" s="71">
        <v>7547</v>
      </c>
      <c r="F202" s="70" t="s">
        <v>1732</v>
      </c>
      <c r="G202" s="72" t="s">
        <v>229</v>
      </c>
      <c r="H202" s="70" t="s">
        <v>1692</v>
      </c>
      <c r="I202" s="70" t="s">
        <v>59</v>
      </c>
      <c r="J202" s="70">
        <v>58</v>
      </c>
      <c r="K202" s="71" t="s">
        <v>1693</v>
      </c>
      <c r="L202" s="71" t="s">
        <v>1693</v>
      </c>
      <c r="M202" s="73">
        <v>6204130000</v>
      </c>
      <c r="N202" s="7"/>
      <c r="O202" s="74" t="s">
        <v>94</v>
      </c>
      <c r="P202">
        <v>1</v>
      </c>
    </row>
    <row r="203" spans="1:16" customFormat="1" ht="15">
      <c r="A203" s="68" t="str">
        <f>LEFT(M203,4)</f>
        <v>6204</v>
      </c>
      <c r="B203" s="68" t="str">
        <f t="shared" si="2"/>
        <v>КОСТЮМ Без товарного знака жен. Артикул 5890 цвет желтый р. 50</v>
      </c>
      <c r="C203" s="69" t="s">
        <v>1690</v>
      </c>
      <c r="D203" s="70" t="s">
        <v>55</v>
      </c>
      <c r="E203" s="71">
        <v>5890</v>
      </c>
      <c r="F203" s="70" t="s">
        <v>1732</v>
      </c>
      <c r="G203" s="72" t="s">
        <v>1740</v>
      </c>
      <c r="H203" s="70" t="s">
        <v>1692</v>
      </c>
      <c r="I203" s="70" t="s">
        <v>59</v>
      </c>
      <c r="J203" s="70">
        <v>50</v>
      </c>
      <c r="K203" s="71" t="s">
        <v>1693</v>
      </c>
      <c r="L203" s="71" t="s">
        <v>1693</v>
      </c>
      <c r="M203" s="73">
        <v>6204130000</v>
      </c>
      <c r="N203" s="7"/>
      <c r="O203" s="74" t="s">
        <v>94</v>
      </c>
      <c r="P203">
        <v>1</v>
      </c>
    </row>
    <row r="204" spans="1:16" customFormat="1" ht="15">
      <c r="A204" s="68" t="str">
        <f>LEFT(M204,4)</f>
        <v>6204</v>
      </c>
      <c r="B204" s="68" t="str">
        <f t="shared" si="2"/>
        <v>КОСТЮМ Без товарного знака жен. Артикул 5890 цвет желтый р. 52</v>
      </c>
      <c r="C204" s="69" t="s">
        <v>1690</v>
      </c>
      <c r="D204" s="70" t="s">
        <v>55</v>
      </c>
      <c r="E204" s="71">
        <v>5890</v>
      </c>
      <c r="F204" s="70" t="s">
        <v>1732</v>
      </c>
      <c r="G204" s="72" t="s">
        <v>1740</v>
      </c>
      <c r="H204" s="70" t="s">
        <v>1692</v>
      </c>
      <c r="I204" s="70" t="s">
        <v>59</v>
      </c>
      <c r="J204" s="70">
        <v>52</v>
      </c>
      <c r="K204" s="71" t="s">
        <v>1693</v>
      </c>
      <c r="L204" s="71" t="s">
        <v>1693</v>
      </c>
      <c r="M204" s="73">
        <v>6204130000</v>
      </c>
      <c r="N204" s="7"/>
      <c r="O204" s="74" t="s">
        <v>94</v>
      </c>
      <c r="P204">
        <v>1</v>
      </c>
    </row>
    <row r="205" spans="1:16" customFormat="1" ht="15">
      <c r="A205" s="68" t="str">
        <f>LEFT(M205,4)</f>
        <v>6204</v>
      </c>
      <c r="B205" s="68" t="str">
        <f t="shared" si="2"/>
        <v>КОСТЮМ Без товарного знака жен. Артикул 5890 цвет желтый р. 54</v>
      </c>
      <c r="C205" s="69" t="s">
        <v>1690</v>
      </c>
      <c r="D205" s="70" t="s">
        <v>55</v>
      </c>
      <c r="E205" s="71">
        <v>5890</v>
      </c>
      <c r="F205" s="70" t="s">
        <v>1732</v>
      </c>
      <c r="G205" s="72" t="s">
        <v>1740</v>
      </c>
      <c r="H205" s="70" t="s">
        <v>1692</v>
      </c>
      <c r="I205" s="70" t="s">
        <v>59</v>
      </c>
      <c r="J205" s="70">
        <v>54</v>
      </c>
      <c r="K205" s="71" t="s">
        <v>1693</v>
      </c>
      <c r="L205" s="71" t="s">
        <v>1693</v>
      </c>
      <c r="M205" s="73">
        <v>6204130000</v>
      </c>
      <c r="N205" s="7"/>
      <c r="O205" s="74" t="s">
        <v>94</v>
      </c>
      <c r="P205">
        <v>1</v>
      </c>
    </row>
    <row r="206" spans="1:16" customFormat="1" ht="15">
      <c r="A206" s="68" t="str">
        <f>LEFT(M206,4)</f>
        <v>6204</v>
      </c>
      <c r="B206" s="68" t="str">
        <f t="shared" si="2"/>
        <v>КОСТЮМ Без товарного знака жен. Артикул 5890 цвет желтый р. 56</v>
      </c>
      <c r="C206" s="69" t="s">
        <v>1690</v>
      </c>
      <c r="D206" s="70" t="s">
        <v>55</v>
      </c>
      <c r="E206" s="71">
        <v>5890</v>
      </c>
      <c r="F206" s="70" t="s">
        <v>1732</v>
      </c>
      <c r="G206" s="72" t="s">
        <v>1740</v>
      </c>
      <c r="H206" s="70" t="s">
        <v>1692</v>
      </c>
      <c r="I206" s="70" t="s">
        <v>59</v>
      </c>
      <c r="J206" s="70">
        <v>56</v>
      </c>
      <c r="K206" s="71" t="s">
        <v>1693</v>
      </c>
      <c r="L206" s="71" t="s">
        <v>1693</v>
      </c>
      <c r="M206" s="73">
        <v>6204130000</v>
      </c>
      <c r="N206" s="7"/>
      <c r="O206" s="74" t="s">
        <v>94</v>
      </c>
      <c r="P206">
        <v>1</v>
      </c>
    </row>
    <row r="207" spans="1:16" customFormat="1" ht="15">
      <c r="A207" s="68" t="str">
        <f>LEFT(M207,4)</f>
        <v>6204</v>
      </c>
      <c r="B207" s="68" t="str">
        <f t="shared" si="2"/>
        <v>КОСТЮМ Без товарного знака жен. Артикул 7288 цвет черный р. 52</v>
      </c>
      <c r="C207" s="69" t="s">
        <v>1690</v>
      </c>
      <c r="D207" s="70" t="s">
        <v>55</v>
      </c>
      <c r="E207" s="71">
        <v>7288</v>
      </c>
      <c r="F207" s="70" t="s">
        <v>1732</v>
      </c>
      <c r="G207" s="72" t="s">
        <v>1727</v>
      </c>
      <c r="H207" s="70" t="s">
        <v>1692</v>
      </c>
      <c r="I207" s="70" t="s">
        <v>59</v>
      </c>
      <c r="J207" s="70">
        <v>52</v>
      </c>
      <c r="K207" s="71" t="s">
        <v>1693</v>
      </c>
      <c r="L207" s="71" t="s">
        <v>1693</v>
      </c>
      <c r="M207" s="73">
        <v>6204130000</v>
      </c>
      <c r="N207" s="7"/>
      <c r="O207" s="74" t="s">
        <v>94</v>
      </c>
      <c r="P207">
        <v>1</v>
      </c>
    </row>
    <row r="208" spans="1:16" customFormat="1" ht="15">
      <c r="A208" s="68" t="str">
        <f>LEFT(M208,4)</f>
        <v>6204</v>
      </c>
      <c r="B208" s="68" t="str">
        <f t="shared" si="2"/>
        <v>КОСТЮМ Без товарного знака жен. Артикул 7288 цвет черный р. 54</v>
      </c>
      <c r="C208" s="69" t="s">
        <v>1690</v>
      </c>
      <c r="D208" s="70" t="s">
        <v>55</v>
      </c>
      <c r="E208" s="71">
        <v>7288</v>
      </c>
      <c r="F208" s="70" t="s">
        <v>1732</v>
      </c>
      <c r="G208" s="72" t="s">
        <v>1727</v>
      </c>
      <c r="H208" s="70" t="s">
        <v>1692</v>
      </c>
      <c r="I208" s="70" t="s">
        <v>59</v>
      </c>
      <c r="J208" s="70">
        <v>54</v>
      </c>
      <c r="K208" s="71" t="s">
        <v>1693</v>
      </c>
      <c r="L208" s="71" t="s">
        <v>1693</v>
      </c>
      <c r="M208" s="73">
        <v>6204130000</v>
      </c>
      <c r="N208" s="7"/>
      <c r="O208" s="74" t="s">
        <v>94</v>
      </c>
      <c r="P208">
        <v>1</v>
      </c>
    </row>
    <row r="209" spans="1:16" customFormat="1" ht="15">
      <c r="A209" s="68" t="str">
        <f>LEFT(M209,4)</f>
        <v>6204</v>
      </c>
      <c r="B209" s="68" t="str">
        <f t="shared" si="2"/>
        <v>КОСТЮМ Без товарного знака жен. Артикул 7288 цвет черный р. 58</v>
      </c>
      <c r="C209" s="69" t="s">
        <v>1690</v>
      </c>
      <c r="D209" s="70" t="s">
        <v>55</v>
      </c>
      <c r="E209" s="71">
        <v>7288</v>
      </c>
      <c r="F209" s="70" t="s">
        <v>1732</v>
      </c>
      <c r="G209" s="72" t="s">
        <v>1727</v>
      </c>
      <c r="H209" s="70" t="s">
        <v>1692</v>
      </c>
      <c r="I209" s="70" t="s">
        <v>59</v>
      </c>
      <c r="J209" s="70">
        <v>58</v>
      </c>
      <c r="K209" s="71" t="s">
        <v>1693</v>
      </c>
      <c r="L209" s="71" t="s">
        <v>1693</v>
      </c>
      <c r="M209" s="73">
        <v>6204130000</v>
      </c>
      <c r="N209" s="7"/>
      <c r="O209" s="74" t="s">
        <v>94</v>
      </c>
      <c r="P209">
        <v>1</v>
      </c>
    </row>
    <row r="210" spans="1:16" customFormat="1" ht="15">
      <c r="A210" s="68" t="str">
        <f>LEFT(M210,4)</f>
        <v>6204</v>
      </c>
      <c r="B210" s="68" t="str">
        <f t="shared" si="2"/>
        <v>КОСТЮМ Без товарного знака жен. Артикул 5798 цвет горчичный р. 44</v>
      </c>
      <c r="C210" s="69" t="s">
        <v>1690</v>
      </c>
      <c r="D210" s="70" t="s">
        <v>55</v>
      </c>
      <c r="E210" s="71">
        <v>5798</v>
      </c>
      <c r="F210" s="70" t="s">
        <v>1732</v>
      </c>
      <c r="G210" s="72" t="s">
        <v>1741</v>
      </c>
      <c r="H210" s="70" t="s">
        <v>1692</v>
      </c>
      <c r="I210" s="70" t="s">
        <v>59</v>
      </c>
      <c r="J210" s="70">
        <v>44</v>
      </c>
      <c r="K210" s="71" t="s">
        <v>1693</v>
      </c>
      <c r="L210" s="71" t="s">
        <v>1693</v>
      </c>
      <c r="M210" s="73">
        <v>6204130000</v>
      </c>
      <c r="N210" s="7"/>
      <c r="O210" s="74" t="s">
        <v>94</v>
      </c>
      <c r="P210">
        <v>1</v>
      </c>
    </row>
    <row r="211" spans="1:16" customFormat="1" ht="15">
      <c r="A211" s="68" t="str">
        <f>LEFT(M211,4)</f>
        <v>6204</v>
      </c>
      <c r="B211" s="68" t="str">
        <f t="shared" si="2"/>
        <v>КОСТЮМ Без товарного знака жен. Артикул 5798 цвет горчичный р. 46</v>
      </c>
      <c r="C211" s="69" t="s">
        <v>1690</v>
      </c>
      <c r="D211" s="70" t="s">
        <v>55</v>
      </c>
      <c r="E211" s="71">
        <v>5798</v>
      </c>
      <c r="F211" s="70" t="s">
        <v>1732</v>
      </c>
      <c r="G211" s="72" t="s">
        <v>1741</v>
      </c>
      <c r="H211" s="70" t="s">
        <v>1692</v>
      </c>
      <c r="I211" s="70" t="s">
        <v>59</v>
      </c>
      <c r="J211" s="70">
        <v>46</v>
      </c>
      <c r="K211" s="71" t="s">
        <v>1693</v>
      </c>
      <c r="L211" s="71" t="s">
        <v>1693</v>
      </c>
      <c r="M211" s="73">
        <v>6204130000</v>
      </c>
      <c r="N211" s="7"/>
      <c r="O211" s="74" t="s">
        <v>94</v>
      </c>
      <c r="P211">
        <v>1</v>
      </c>
    </row>
    <row r="212" spans="1:16" customFormat="1" ht="15">
      <c r="A212" s="68" t="str">
        <f>LEFT(M212,4)</f>
        <v>6204</v>
      </c>
      <c r="B212" s="68" t="str">
        <f t="shared" si="2"/>
        <v>КОСТЮМ Без товарного знака жен. Артикул 5798 цвет горчичный р. 48</v>
      </c>
      <c r="C212" s="69" t="s">
        <v>1690</v>
      </c>
      <c r="D212" s="70" t="s">
        <v>55</v>
      </c>
      <c r="E212" s="71">
        <v>5798</v>
      </c>
      <c r="F212" s="70" t="s">
        <v>1732</v>
      </c>
      <c r="G212" s="72" t="s">
        <v>1741</v>
      </c>
      <c r="H212" s="70" t="s">
        <v>1692</v>
      </c>
      <c r="I212" s="70" t="s">
        <v>59</v>
      </c>
      <c r="J212" s="70">
        <v>48</v>
      </c>
      <c r="K212" s="71" t="s">
        <v>1693</v>
      </c>
      <c r="L212" s="71" t="s">
        <v>1693</v>
      </c>
      <c r="M212" s="73">
        <v>6204130000</v>
      </c>
      <c r="N212" s="7"/>
      <c r="O212" s="74" t="s">
        <v>94</v>
      </c>
      <c r="P212">
        <v>1</v>
      </c>
    </row>
    <row r="213" spans="1:16" customFormat="1" ht="15">
      <c r="A213" s="68" t="str">
        <f>LEFT(M213,4)</f>
        <v>6204</v>
      </c>
      <c r="B213" s="68" t="str">
        <f t="shared" si="2"/>
        <v>КОСТЮМ Без товарного знака жен. Артикул 5798 цвет вишневый р. 44</v>
      </c>
      <c r="C213" s="69" t="s">
        <v>1690</v>
      </c>
      <c r="D213" s="70" t="s">
        <v>55</v>
      </c>
      <c r="E213" s="71">
        <v>5798</v>
      </c>
      <c r="F213" s="70" t="s">
        <v>1732</v>
      </c>
      <c r="G213" s="75" t="s">
        <v>1742</v>
      </c>
      <c r="H213" s="70" t="s">
        <v>1692</v>
      </c>
      <c r="I213" s="70" t="s">
        <v>59</v>
      </c>
      <c r="J213" s="70">
        <v>44</v>
      </c>
      <c r="K213" s="71" t="s">
        <v>1693</v>
      </c>
      <c r="L213" s="71" t="s">
        <v>1693</v>
      </c>
      <c r="M213" s="73">
        <v>6204130000</v>
      </c>
      <c r="N213" s="7"/>
      <c r="O213" s="74" t="s">
        <v>94</v>
      </c>
      <c r="P213">
        <v>1</v>
      </c>
    </row>
    <row r="214" spans="1:16" customFormat="1" ht="15">
      <c r="A214" s="68" t="str">
        <f>LEFT(M214,4)</f>
        <v>6204</v>
      </c>
      <c r="B214" s="68" t="str">
        <f t="shared" si="2"/>
        <v>КОСТЮМ Без товарного знака жен. Артикул 5798 цвет вишневый р. 46</v>
      </c>
      <c r="C214" s="69" t="s">
        <v>1690</v>
      </c>
      <c r="D214" s="70" t="s">
        <v>55</v>
      </c>
      <c r="E214" s="71">
        <v>5798</v>
      </c>
      <c r="F214" s="70" t="s">
        <v>1732</v>
      </c>
      <c r="G214" s="75" t="s">
        <v>1742</v>
      </c>
      <c r="H214" s="70" t="s">
        <v>1692</v>
      </c>
      <c r="I214" s="70" t="s">
        <v>59</v>
      </c>
      <c r="J214" s="70">
        <v>46</v>
      </c>
      <c r="K214" s="71" t="s">
        <v>1693</v>
      </c>
      <c r="L214" s="71" t="s">
        <v>1693</v>
      </c>
      <c r="M214" s="73">
        <v>6204130000</v>
      </c>
      <c r="N214" s="7"/>
      <c r="O214" s="74" t="s">
        <v>94</v>
      </c>
      <c r="P214">
        <v>1</v>
      </c>
    </row>
    <row r="215" spans="1:16" customFormat="1" ht="15">
      <c r="A215" s="68" t="str">
        <f>LEFT(M215,4)</f>
        <v>6204</v>
      </c>
      <c r="B215" s="68" t="str">
        <f t="shared" si="2"/>
        <v>КОСТЮМ Без товарного знака жен. Артикул 7373 цвет ХАКИ р. 52</v>
      </c>
      <c r="C215" s="69" t="s">
        <v>1690</v>
      </c>
      <c r="D215" s="70" t="s">
        <v>55</v>
      </c>
      <c r="E215" s="71">
        <v>7373</v>
      </c>
      <c r="F215" s="70" t="s">
        <v>1732</v>
      </c>
      <c r="G215" s="72" t="s">
        <v>324</v>
      </c>
      <c r="H215" s="70" t="s">
        <v>1692</v>
      </c>
      <c r="I215" s="70" t="s">
        <v>59</v>
      </c>
      <c r="J215" s="70">
        <v>52</v>
      </c>
      <c r="K215" s="71" t="s">
        <v>1743</v>
      </c>
      <c r="L215" s="71" t="s">
        <v>1743</v>
      </c>
      <c r="M215" s="73">
        <v>6204120000</v>
      </c>
      <c r="N215" s="7"/>
      <c r="O215" s="74" t="s">
        <v>94</v>
      </c>
      <c r="P215">
        <v>1</v>
      </c>
    </row>
    <row r="216" spans="1:16" customFormat="1" ht="15">
      <c r="A216" s="68" t="str">
        <f>LEFT(M216,4)</f>
        <v>6204</v>
      </c>
      <c r="B216" s="68" t="str">
        <f t="shared" si="2"/>
        <v>КОСТЮМ Без товарного знака жен. Артикул 7373 цвет ХАКИ р. 54</v>
      </c>
      <c r="C216" s="69" t="s">
        <v>1690</v>
      </c>
      <c r="D216" s="70" t="s">
        <v>55</v>
      </c>
      <c r="E216" s="71">
        <v>7373</v>
      </c>
      <c r="F216" s="70" t="s">
        <v>1732</v>
      </c>
      <c r="G216" s="72" t="s">
        <v>324</v>
      </c>
      <c r="H216" s="70" t="s">
        <v>1692</v>
      </c>
      <c r="I216" s="70" t="s">
        <v>59</v>
      </c>
      <c r="J216" s="70">
        <v>54</v>
      </c>
      <c r="K216" s="71" t="s">
        <v>1743</v>
      </c>
      <c r="L216" s="71" t="s">
        <v>1743</v>
      </c>
      <c r="M216" s="73">
        <v>6204120000</v>
      </c>
      <c r="N216" s="7"/>
      <c r="O216" s="74" t="s">
        <v>94</v>
      </c>
      <c r="P216">
        <v>1</v>
      </c>
    </row>
    <row r="217" spans="1:16" customFormat="1" ht="15">
      <c r="A217" s="68" t="str">
        <f>LEFT(M217,4)</f>
        <v>6204</v>
      </c>
      <c r="B217" s="68" t="str">
        <f t="shared" si="2"/>
        <v>КОСТЮМ Без товарного знака жен. Артикул 7373 цвет ХАКИ р. 56</v>
      </c>
      <c r="C217" s="69" t="s">
        <v>1690</v>
      </c>
      <c r="D217" s="70" t="s">
        <v>55</v>
      </c>
      <c r="E217" s="71">
        <v>7373</v>
      </c>
      <c r="F217" s="70" t="s">
        <v>1732</v>
      </c>
      <c r="G217" s="72" t="s">
        <v>324</v>
      </c>
      <c r="H217" s="70" t="s">
        <v>1692</v>
      </c>
      <c r="I217" s="70" t="s">
        <v>59</v>
      </c>
      <c r="J217" s="70">
        <v>56</v>
      </c>
      <c r="K217" s="71" t="s">
        <v>1743</v>
      </c>
      <c r="L217" s="71" t="s">
        <v>1743</v>
      </c>
      <c r="M217" s="73">
        <v>6204120000</v>
      </c>
      <c r="N217" s="7"/>
      <c r="O217" s="74" t="s">
        <v>94</v>
      </c>
      <c r="P217">
        <v>1</v>
      </c>
    </row>
    <row r="218" spans="1:16" customFormat="1" ht="15">
      <c r="A218" s="68" t="str">
        <f>LEFT(M218,4)</f>
        <v>6204</v>
      </c>
      <c r="B218" s="68" t="str">
        <f t="shared" si="2"/>
        <v>КОСТЮМ Без товарного знака жен. Артикул 7433 цвет РАЗНОЦВЕТНЫЙ р. 42</v>
      </c>
      <c r="C218" s="69" t="s">
        <v>1690</v>
      </c>
      <c r="D218" s="70" t="s">
        <v>55</v>
      </c>
      <c r="E218" s="71">
        <v>7433</v>
      </c>
      <c r="F218" s="70" t="s">
        <v>1732</v>
      </c>
      <c r="G218" s="72" t="s">
        <v>229</v>
      </c>
      <c r="H218" s="70" t="s">
        <v>1692</v>
      </c>
      <c r="I218" s="70" t="s">
        <v>59</v>
      </c>
      <c r="J218" s="70">
        <v>42</v>
      </c>
      <c r="K218" s="71" t="s">
        <v>1706</v>
      </c>
      <c r="L218" s="71" t="s">
        <v>1706</v>
      </c>
      <c r="M218" s="73">
        <v>6204130000</v>
      </c>
      <c r="N218" s="7"/>
      <c r="O218" s="74" t="s">
        <v>94</v>
      </c>
      <c r="P218">
        <v>1</v>
      </c>
    </row>
    <row r="219" spans="1:16" customFormat="1" ht="15">
      <c r="A219" s="68" t="str">
        <f>LEFT(M219,4)</f>
        <v>6204</v>
      </c>
      <c r="B219" s="68" t="str">
        <f t="shared" si="2"/>
        <v>КОСТЮМ Без товарного знака жен. Артикул 7433 цвет РАЗНОЦВЕТНЫЙ р. 46</v>
      </c>
      <c r="C219" s="69" t="s">
        <v>1690</v>
      </c>
      <c r="D219" s="70" t="s">
        <v>55</v>
      </c>
      <c r="E219" s="71">
        <v>7433</v>
      </c>
      <c r="F219" s="70" t="s">
        <v>1732</v>
      </c>
      <c r="G219" s="72" t="s">
        <v>229</v>
      </c>
      <c r="H219" s="70" t="s">
        <v>1692</v>
      </c>
      <c r="I219" s="70" t="s">
        <v>59</v>
      </c>
      <c r="J219" s="70">
        <v>46</v>
      </c>
      <c r="K219" s="71" t="s">
        <v>1706</v>
      </c>
      <c r="L219" s="71" t="s">
        <v>1706</v>
      </c>
      <c r="M219" s="73">
        <v>6204130000</v>
      </c>
      <c r="N219" s="7"/>
      <c r="O219" s="74" t="s">
        <v>94</v>
      </c>
      <c r="P219">
        <v>1</v>
      </c>
    </row>
    <row r="220" spans="1:16" customFormat="1" ht="15">
      <c r="A220" s="68" t="str">
        <f>LEFT(M220,4)</f>
        <v>6204</v>
      </c>
      <c r="B220" s="68" t="str">
        <f t="shared" si="2"/>
        <v>КОСТЮМ Без товарного знака жен. Артикул 7433 цвет РАЗНОЦВЕТНЫЙ р. 48</v>
      </c>
      <c r="C220" s="69" t="s">
        <v>1690</v>
      </c>
      <c r="D220" s="70" t="s">
        <v>55</v>
      </c>
      <c r="E220" s="71">
        <v>7433</v>
      </c>
      <c r="F220" s="70" t="s">
        <v>1732</v>
      </c>
      <c r="G220" s="72" t="s">
        <v>229</v>
      </c>
      <c r="H220" s="70" t="s">
        <v>1692</v>
      </c>
      <c r="I220" s="70" t="s">
        <v>59</v>
      </c>
      <c r="J220" s="70">
        <v>48</v>
      </c>
      <c r="K220" s="71" t="s">
        <v>1706</v>
      </c>
      <c r="L220" s="71" t="s">
        <v>1706</v>
      </c>
      <c r="M220" s="73">
        <v>6204130000</v>
      </c>
      <c r="N220" s="7"/>
      <c r="O220" s="74" t="s">
        <v>94</v>
      </c>
      <c r="P220">
        <v>1</v>
      </c>
    </row>
    <row r="221" spans="1:16" customFormat="1" ht="15">
      <c r="A221" s="68" t="str">
        <f>LEFT(M221,4)</f>
        <v>6204</v>
      </c>
      <c r="B221" s="68" t="str">
        <f t="shared" si="2"/>
        <v>КОСТЮМ Без товарного знака жен. Артикул 7242 цвет зеленый р. 56</v>
      </c>
      <c r="C221" s="69" t="s">
        <v>1690</v>
      </c>
      <c r="D221" s="70" t="s">
        <v>55</v>
      </c>
      <c r="E221" s="71">
        <v>7242</v>
      </c>
      <c r="F221" s="70" t="s">
        <v>1732</v>
      </c>
      <c r="G221" s="72" t="s">
        <v>1735</v>
      </c>
      <c r="H221" s="70" t="s">
        <v>1692</v>
      </c>
      <c r="I221" s="70" t="s">
        <v>59</v>
      </c>
      <c r="J221" s="70">
        <v>56</v>
      </c>
      <c r="K221" s="71" t="s">
        <v>1744</v>
      </c>
      <c r="L221" s="71" t="s">
        <v>1744</v>
      </c>
      <c r="M221" s="73">
        <v>6204130000</v>
      </c>
      <c r="N221" s="7"/>
      <c r="O221" s="74" t="s">
        <v>94</v>
      </c>
      <c r="P221">
        <v>1</v>
      </c>
    </row>
    <row r="222" spans="1:16" customFormat="1" ht="15">
      <c r="A222" s="68" t="str">
        <f>LEFT(M222,4)</f>
        <v>6204</v>
      </c>
      <c r="B222" s="68" t="str">
        <f t="shared" ref="B222:B277" si="3">CONCATENATE(F222," ", C222," ",H222," ",D222," ", E222, " цвет ", G222, " р. ", J222)</f>
        <v>КОСТЮМ Без товарного знака жен. Артикул 7242 цвет зеленый р. 60</v>
      </c>
      <c r="C222" s="69" t="s">
        <v>1690</v>
      </c>
      <c r="D222" s="70" t="s">
        <v>55</v>
      </c>
      <c r="E222" s="71">
        <v>7242</v>
      </c>
      <c r="F222" s="70" t="s">
        <v>1732</v>
      </c>
      <c r="G222" s="72" t="s">
        <v>1735</v>
      </c>
      <c r="H222" s="70" t="s">
        <v>1692</v>
      </c>
      <c r="I222" s="70" t="s">
        <v>59</v>
      </c>
      <c r="J222" s="70">
        <v>60</v>
      </c>
      <c r="K222" s="71" t="s">
        <v>1744</v>
      </c>
      <c r="L222" s="71" t="s">
        <v>1744</v>
      </c>
      <c r="M222" s="73">
        <v>6204130000</v>
      </c>
      <c r="N222" s="7"/>
      <c r="O222" s="74" t="s">
        <v>94</v>
      </c>
      <c r="P222">
        <v>1</v>
      </c>
    </row>
    <row r="223" spans="1:16" customFormat="1" ht="15">
      <c r="A223" s="68" t="str">
        <f>LEFT(M223,4)</f>
        <v>6204</v>
      </c>
      <c r="B223" s="68" t="str">
        <f t="shared" si="3"/>
        <v>КОСТЮМ Без товарного знака жен. Артикул 7242 цвет черный р. 54</v>
      </c>
      <c r="C223" s="69" t="s">
        <v>1690</v>
      </c>
      <c r="D223" s="70" t="s">
        <v>55</v>
      </c>
      <c r="E223" s="71">
        <v>7242</v>
      </c>
      <c r="F223" s="70" t="s">
        <v>1732</v>
      </c>
      <c r="G223" s="72" t="s">
        <v>1727</v>
      </c>
      <c r="H223" s="70" t="s">
        <v>1692</v>
      </c>
      <c r="I223" s="70" t="s">
        <v>59</v>
      </c>
      <c r="J223" s="70">
        <v>54</v>
      </c>
      <c r="K223" s="71" t="s">
        <v>1744</v>
      </c>
      <c r="L223" s="71" t="s">
        <v>1744</v>
      </c>
      <c r="M223" s="73">
        <v>6204130000</v>
      </c>
      <c r="N223" s="7"/>
      <c r="O223" s="74" t="s">
        <v>94</v>
      </c>
      <c r="P223">
        <v>1</v>
      </c>
    </row>
    <row r="224" spans="1:16" customFormat="1" ht="15">
      <c r="A224" s="68" t="str">
        <f>LEFT(M224,4)</f>
        <v>6204</v>
      </c>
      <c r="B224" s="68" t="str">
        <f t="shared" si="3"/>
        <v>КОСТЮМ Без товарного знака жен. Артикул 7242 цвет черный р. 56</v>
      </c>
      <c r="C224" s="69" t="s">
        <v>1690</v>
      </c>
      <c r="D224" s="70" t="s">
        <v>55</v>
      </c>
      <c r="E224" s="71">
        <v>7242</v>
      </c>
      <c r="F224" s="70" t="s">
        <v>1732</v>
      </c>
      <c r="G224" s="72" t="s">
        <v>1727</v>
      </c>
      <c r="H224" s="70" t="s">
        <v>1692</v>
      </c>
      <c r="I224" s="70" t="s">
        <v>59</v>
      </c>
      <c r="J224" s="70">
        <v>56</v>
      </c>
      <c r="K224" s="71" t="s">
        <v>1744</v>
      </c>
      <c r="L224" s="71" t="s">
        <v>1744</v>
      </c>
      <c r="M224" s="73">
        <v>6204130000</v>
      </c>
      <c r="N224" s="7"/>
      <c r="O224" s="74" t="s">
        <v>94</v>
      </c>
      <c r="P224">
        <v>1</v>
      </c>
    </row>
    <row r="225" spans="1:16" customFormat="1" ht="15">
      <c r="A225" s="68" t="str">
        <f>LEFT(M225,4)</f>
        <v>6204</v>
      </c>
      <c r="B225" s="68" t="str">
        <f t="shared" si="3"/>
        <v>КОСТЮМ Без товарного знака жен. Артикул 7242 цвет черный р. 58</v>
      </c>
      <c r="C225" s="69" t="s">
        <v>1690</v>
      </c>
      <c r="D225" s="70" t="s">
        <v>55</v>
      </c>
      <c r="E225" s="71">
        <v>7242</v>
      </c>
      <c r="F225" s="70" t="s">
        <v>1732</v>
      </c>
      <c r="G225" s="72" t="s">
        <v>1727</v>
      </c>
      <c r="H225" s="70" t="s">
        <v>1692</v>
      </c>
      <c r="I225" s="70" t="s">
        <v>59</v>
      </c>
      <c r="J225" s="70">
        <v>58</v>
      </c>
      <c r="K225" s="71" t="s">
        <v>1744</v>
      </c>
      <c r="L225" s="71" t="s">
        <v>1744</v>
      </c>
      <c r="M225" s="73">
        <v>6204130000</v>
      </c>
      <c r="N225" s="7"/>
      <c r="O225" s="74" t="s">
        <v>94</v>
      </c>
      <c r="P225">
        <v>1</v>
      </c>
    </row>
    <row r="226" spans="1:16" customFormat="1" ht="15">
      <c r="A226" s="68" t="str">
        <f>LEFT(M226,4)</f>
        <v>6204</v>
      </c>
      <c r="B226" s="68" t="str">
        <f t="shared" si="3"/>
        <v>КОСТЮМ Без товарного знака жен. Артикул 7242 цвет черный р. 60</v>
      </c>
      <c r="C226" s="69" t="s">
        <v>1690</v>
      </c>
      <c r="D226" s="70" t="s">
        <v>55</v>
      </c>
      <c r="E226" s="71">
        <v>7242</v>
      </c>
      <c r="F226" s="70" t="s">
        <v>1732</v>
      </c>
      <c r="G226" s="72" t="s">
        <v>1727</v>
      </c>
      <c r="H226" s="70" t="s">
        <v>1692</v>
      </c>
      <c r="I226" s="70" t="s">
        <v>59</v>
      </c>
      <c r="J226" s="70">
        <v>60</v>
      </c>
      <c r="K226" s="71" t="s">
        <v>1744</v>
      </c>
      <c r="L226" s="71" t="s">
        <v>1744</v>
      </c>
      <c r="M226" s="73">
        <v>6204130000</v>
      </c>
      <c r="N226" s="7"/>
      <c r="O226" s="74" t="s">
        <v>94</v>
      </c>
      <c r="P226">
        <v>1</v>
      </c>
    </row>
    <row r="227" spans="1:16" customFormat="1" ht="15">
      <c r="A227" s="68" t="str">
        <f>LEFT(M227,4)</f>
        <v>6204</v>
      </c>
      <c r="B227" s="68" t="str">
        <f t="shared" si="3"/>
        <v>ЮБКА Без товарного знака жен. Артикул 6956 цвет ХАКИ р. 42</v>
      </c>
      <c r="C227" s="69" t="s">
        <v>1690</v>
      </c>
      <c r="D227" s="70" t="s">
        <v>55</v>
      </c>
      <c r="E227" s="71">
        <v>6956</v>
      </c>
      <c r="F227" s="70" t="s">
        <v>1745</v>
      </c>
      <c r="G227" s="72" t="s">
        <v>324</v>
      </c>
      <c r="H227" s="70" t="s">
        <v>1692</v>
      </c>
      <c r="I227" s="70" t="s">
        <v>59</v>
      </c>
      <c r="J227" s="70">
        <v>42</v>
      </c>
      <c r="K227" s="70" t="s">
        <v>1746</v>
      </c>
      <c r="L227" s="70" t="s">
        <v>1746</v>
      </c>
      <c r="M227" s="73">
        <v>6204520000</v>
      </c>
      <c r="N227" s="7"/>
      <c r="O227" s="74" t="s">
        <v>94</v>
      </c>
      <c r="P227">
        <v>1</v>
      </c>
    </row>
    <row r="228" spans="1:16" customFormat="1" ht="15">
      <c r="A228" s="68" t="str">
        <f>LEFT(M228,4)</f>
        <v>6204</v>
      </c>
      <c r="B228" s="68" t="str">
        <f t="shared" si="3"/>
        <v>ЮБКА Без товарного знака жен. Артикул 6956 цвет БЕЖЕВЫЙ р. 44</v>
      </c>
      <c r="C228" s="69" t="s">
        <v>1690</v>
      </c>
      <c r="D228" s="70" t="s">
        <v>55</v>
      </c>
      <c r="E228" s="71">
        <v>6956</v>
      </c>
      <c r="F228" s="70" t="s">
        <v>1745</v>
      </c>
      <c r="G228" s="72" t="s">
        <v>57</v>
      </c>
      <c r="H228" s="70" t="s">
        <v>1692</v>
      </c>
      <c r="I228" s="70" t="s">
        <v>59</v>
      </c>
      <c r="J228" s="70">
        <v>44</v>
      </c>
      <c r="K228" s="70" t="s">
        <v>1746</v>
      </c>
      <c r="L228" s="70" t="s">
        <v>1746</v>
      </c>
      <c r="M228" s="73">
        <v>6204520000</v>
      </c>
      <c r="N228" s="7"/>
      <c r="O228" s="74" t="s">
        <v>94</v>
      </c>
      <c r="P228">
        <v>1</v>
      </c>
    </row>
    <row r="229" spans="1:16" customFormat="1" ht="15">
      <c r="A229" s="68" t="str">
        <f>LEFT(M229,4)</f>
        <v>6204</v>
      </c>
      <c r="B229" s="68" t="str">
        <f t="shared" si="3"/>
        <v>ЮБКА Без товарного знака жен. Артикул 6956 цвет БИРЮЗОВЫЙ р. 46</v>
      </c>
      <c r="C229" s="69" t="s">
        <v>1690</v>
      </c>
      <c r="D229" s="70" t="s">
        <v>55</v>
      </c>
      <c r="E229" s="71">
        <v>6956</v>
      </c>
      <c r="F229" s="70" t="s">
        <v>1745</v>
      </c>
      <c r="G229" s="72" t="s">
        <v>111</v>
      </c>
      <c r="H229" s="70" t="s">
        <v>1692</v>
      </c>
      <c r="I229" s="70" t="s">
        <v>59</v>
      </c>
      <c r="J229" s="70">
        <v>46</v>
      </c>
      <c r="K229" s="70" t="s">
        <v>1746</v>
      </c>
      <c r="L229" s="70" t="s">
        <v>1746</v>
      </c>
      <c r="M229" s="73">
        <v>6204520000</v>
      </c>
      <c r="N229" s="7"/>
      <c r="O229" s="74" t="s">
        <v>94</v>
      </c>
      <c r="P229">
        <v>1</v>
      </c>
    </row>
    <row r="230" spans="1:16" customFormat="1" ht="15">
      <c r="A230" s="68" t="str">
        <f>LEFT(M230,4)</f>
        <v>6204</v>
      </c>
      <c r="B230" s="68" t="str">
        <f t="shared" si="3"/>
        <v>ЮБКА Без товарного знака жен. Артикул 6956 цвет ХАКИ р. 48</v>
      </c>
      <c r="C230" s="69" t="s">
        <v>1690</v>
      </c>
      <c r="D230" s="70" t="s">
        <v>55</v>
      </c>
      <c r="E230" s="71">
        <v>6956</v>
      </c>
      <c r="F230" s="70" t="s">
        <v>1745</v>
      </c>
      <c r="G230" s="72" t="s">
        <v>324</v>
      </c>
      <c r="H230" s="70" t="s">
        <v>1692</v>
      </c>
      <c r="I230" s="70" t="s">
        <v>59</v>
      </c>
      <c r="J230" s="70">
        <v>48</v>
      </c>
      <c r="K230" s="70" t="s">
        <v>1746</v>
      </c>
      <c r="L230" s="70" t="s">
        <v>1746</v>
      </c>
      <c r="M230" s="73">
        <v>6204520000</v>
      </c>
      <c r="N230" s="7"/>
      <c r="O230" s="74" t="s">
        <v>94</v>
      </c>
      <c r="P230">
        <v>1</v>
      </c>
    </row>
    <row r="231" spans="1:16" customFormat="1" ht="15">
      <c r="A231" s="68" t="str">
        <f>LEFT(M231,4)</f>
        <v>6206</v>
      </c>
      <c r="B231" s="68" t="str">
        <f t="shared" si="3"/>
        <v>БЛУЗКА Без товарного знака жен. Артикул 1722 цвет ЧЕРНЫЙ р. 46</v>
      </c>
      <c r="C231" s="69" t="s">
        <v>1690</v>
      </c>
      <c r="D231" s="70" t="s">
        <v>55</v>
      </c>
      <c r="E231" s="71">
        <v>1722</v>
      </c>
      <c r="F231" s="70" t="s">
        <v>1747</v>
      </c>
      <c r="G231" s="72" t="s">
        <v>330</v>
      </c>
      <c r="H231" s="70" t="s">
        <v>1692</v>
      </c>
      <c r="I231" s="70" t="s">
        <v>59</v>
      </c>
      <c r="J231" s="70">
        <v>46</v>
      </c>
      <c r="K231" s="71" t="s">
        <v>1748</v>
      </c>
      <c r="L231" s="71" t="s">
        <v>1748</v>
      </c>
      <c r="M231" s="73">
        <v>6206400000</v>
      </c>
      <c r="N231" s="7"/>
      <c r="O231" s="74" t="s">
        <v>94</v>
      </c>
      <c r="P231">
        <v>1</v>
      </c>
    </row>
    <row r="232" spans="1:16" customFormat="1" ht="15">
      <c r="A232" s="68" t="str">
        <f>LEFT(M232,4)</f>
        <v>6206</v>
      </c>
      <c r="B232" s="68" t="str">
        <f t="shared" si="3"/>
        <v>БЛУЗКА Без товарного знака жен. Артикул 1722 цвет ЧЕРНЫЙ р. 48</v>
      </c>
      <c r="C232" s="69" t="s">
        <v>1690</v>
      </c>
      <c r="D232" s="70" t="s">
        <v>55</v>
      </c>
      <c r="E232" s="71">
        <v>1722</v>
      </c>
      <c r="F232" s="70" t="s">
        <v>1747</v>
      </c>
      <c r="G232" s="72" t="s">
        <v>330</v>
      </c>
      <c r="H232" s="70" t="s">
        <v>1692</v>
      </c>
      <c r="I232" s="70" t="s">
        <v>59</v>
      </c>
      <c r="J232" s="70">
        <v>48</v>
      </c>
      <c r="K232" s="71" t="s">
        <v>1748</v>
      </c>
      <c r="L232" s="71" t="s">
        <v>1748</v>
      </c>
      <c r="M232" s="73">
        <v>6206400000</v>
      </c>
      <c r="N232" s="7"/>
      <c r="O232" s="74" t="s">
        <v>94</v>
      </c>
      <c r="P232">
        <v>1</v>
      </c>
    </row>
    <row r="233" spans="1:16" customFormat="1" ht="15">
      <c r="A233" s="68" t="str">
        <f>LEFT(M233,4)</f>
        <v>6206</v>
      </c>
      <c r="B233" s="68" t="str">
        <f t="shared" si="3"/>
        <v>БЛУЗКА Без товарного знака жен. Артикул 1723 цвет ЧЕРНЫЙ р. 48</v>
      </c>
      <c r="C233" s="69" t="s">
        <v>1690</v>
      </c>
      <c r="D233" s="70" t="s">
        <v>55</v>
      </c>
      <c r="E233" s="71">
        <v>1723</v>
      </c>
      <c r="F233" s="70" t="s">
        <v>1747</v>
      </c>
      <c r="G233" s="72" t="s">
        <v>330</v>
      </c>
      <c r="H233" s="70" t="s">
        <v>1692</v>
      </c>
      <c r="I233" s="70" t="s">
        <v>59</v>
      </c>
      <c r="J233" s="70">
        <v>48</v>
      </c>
      <c r="K233" s="71" t="s">
        <v>1748</v>
      </c>
      <c r="L233" s="71" t="s">
        <v>1748</v>
      </c>
      <c r="M233" s="73">
        <v>6206400000</v>
      </c>
      <c r="N233" s="7"/>
      <c r="O233" s="74" t="s">
        <v>94</v>
      </c>
      <c r="P233">
        <v>1</v>
      </c>
    </row>
    <row r="234" spans="1:16" s="83" customFormat="1" ht="15">
      <c r="A234" s="79" t="str">
        <f>LEFT(M234,4)</f>
        <v>6204</v>
      </c>
      <c r="B234" s="79" t="str">
        <f>CONCATENATE(F234," ", C234," ",H234," ",D234," ", E234, " цвет ", G234, " р. ", J234)</f>
        <v>ПЛАТЬЕ Без товарного знака жен. Артикул 5565 цвет РАЗНОЦВЕТНЫЙ р. 46</v>
      </c>
      <c r="C234" s="80" t="s">
        <v>1690</v>
      </c>
      <c r="D234" s="80" t="s">
        <v>55</v>
      </c>
      <c r="E234" s="81">
        <v>5565</v>
      </c>
      <c r="F234" s="80" t="s">
        <v>1691</v>
      </c>
      <c r="G234" s="72" t="s">
        <v>229</v>
      </c>
      <c r="H234" s="80" t="s">
        <v>1692</v>
      </c>
      <c r="I234" s="80" t="s">
        <v>59</v>
      </c>
      <c r="J234" s="80">
        <v>46</v>
      </c>
      <c r="K234" s="82" t="s">
        <v>1693</v>
      </c>
      <c r="L234" s="82" t="s">
        <v>1693</v>
      </c>
      <c r="M234" s="73">
        <v>6204430000</v>
      </c>
      <c r="O234" s="80" t="s">
        <v>94</v>
      </c>
      <c r="P234">
        <v>1</v>
      </c>
    </row>
    <row r="235" spans="1:16" customFormat="1" ht="15">
      <c r="A235" s="84" t="str">
        <f>LEFT(M235,4)</f>
        <v>6204</v>
      </c>
      <c r="B235" s="84" t="str">
        <f t="shared" ref="B235:B298" si="4">CONCATENATE(F235," ", C235," ",H235," ",D235," ", E235, " цвет ", G235, " р. ", J235)</f>
        <v>ПЛАТЬЕ Без товарного знака жен. Артикул 5565 цвет РАЗНОЦВЕТНЫЙ р. 48</v>
      </c>
      <c r="C235" s="69" t="s">
        <v>1690</v>
      </c>
      <c r="D235" s="69" t="s">
        <v>55</v>
      </c>
      <c r="E235" s="85">
        <v>5565</v>
      </c>
      <c r="F235" s="69" t="s">
        <v>1691</v>
      </c>
      <c r="G235" s="72" t="s">
        <v>229</v>
      </c>
      <c r="H235" s="69" t="s">
        <v>1692</v>
      </c>
      <c r="I235" s="69" t="s">
        <v>59</v>
      </c>
      <c r="J235" s="86">
        <v>48</v>
      </c>
      <c r="K235" s="87" t="s">
        <v>1693</v>
      </c>
      <c r="L235" s="87" t="s">
        <v>1693</v>
      </c>
      <c r="M235" s="73">
        <v>6204430000</v>
      </c>
      <c r="N235" s="7"/>
      <c r="O235" s="88" t="s">
        <v>94</v>
      </c>
      <c r="P235">
        <v>1</v>
      </c>
    </row>
    <row r="236" spans="1:16" customFormat="1" ht="15">
      <c r="A236" s="84" t="str">
        <f>LEFT(M236,4)</f>
        <v>6204</v>
      </c>
      <c r="B236" s="84" t="str">
        <f t="shared" si="4"/>
        <v>ПЛАТЬЕ Без товарного знака жен. Артикул 5565 цвет РАЗНОЦВЕТНЫЙ р. 50</v>
      </c>
      <c r="C236" s="69" t="s">
        <v>1690</v>
      </c>
      <c r="D236" s="69" t="s">
        <v>55</v>
      </c>
      <c r="E236" s="85">
        <v>5565</v>
      </c>
      <c r="F236" s="69" t="s">
        <v>1691</v>
      </c>
      <c r="G236" s="72" t="s">
        <v>229</v>
      </c>
      <c r="H236" s="69" t="s">
        <v>1692</v>
      </c>
      <c r="I236" s="69" t="s">
        <v>59</v>
      </c>
      <c r="J236" s="86">
        <v>50</v>
      </c>
      <c r="K236" s="87" t="s">
        <v>1693</v>
      </c>
      <c r="L236" s="87" t="s">
        <v>1693</v>
      </c>
      <c r="M236" s="73">
        <v>6204430000</v>
      </c>
      <c r="N236" s="7"/>
      <c r="O236" s="88" t="s">
        <v>94</v>
      </c>
      <c r="P236">
        <v>1</v>
      </c>
    </row>
    <row r="237" spans="1:16" customFormat="1" ht="15">
      <c r="A237" s="84" t="str">
        <f>LEFT(M237,4)</f>
        <v>6204</v>
      </c>
      <c r="B237" s="84" t="str">
        <f t="shared" si="4"/>
        <v>ПЛАТЬЕ Без товарного знака жен. Артикул 5565 цвет РАЗНОЦВЕТНЫЙ р. 52</v>
      </c>
      <c r="C237" s="69" t="s">
        <v>1690</v>
      </c>
      <c r="D237" s="69" t="s">
        <v>55</v>
      </c>
      <c r="E237" s="85">
        <v>5565</v>
      </c>
      <c r="F237" s="69" t="s">
        <v>1691</v>
      </c>
      <c r="G237" s="72" t="s">
        <v>229</v>
      </c>
      <c r="H237" s="69" t="s">
        <v>1692</v>
      </c>
      <c r="I237" s="69" t="s">
        <v>59</v>
      </c>
      <c r="J237" s="86">
        <v>52</v>
      </c>
      <c r="K237" s="87" t="s">
        <v>1693</v>
      </c>
      <c r="L237" s="87" t="s">
        <v>1693</v>
      </c>
      <c r="M237" s="73">
        <v>6204430000</v>
      </c>
      <c r="N237" s="7"/>
      <c r="O237" s="88" t="s">
        <v>94</v>
      </c>
      <c r="P237">
        <v>1</v>
      </c>
    </row>
    <row r="238" spans="1:16" customFormat="1" ht="15">
      <c r="A238" s="84" t="str">
        <f>LEFT(M238,4)</f>
        <v>6204</v>
      </c>
      <c r="B238" s="84" t="str">
        <f t="shared" si="4"/>
        <v>ПЛАТЬЕ Без товарного знака жен. Артикул 5565 цвет РАЗНОЦВЕТНЫЙ р. 54</v>
      </c>
      <c r="C238" s="69" t="s">
        <v>1690</v>
      </c>
      <c r="D238" s="69" t="s">
        <v>55</v>
      </c>
      <c r="E238" s="85">
        <v>5565</v>
      </c>
      <c r="F238" s="69" t="s">
        <v>1691</v>
      </c>
      <c r="G238" s="72" t="s">
        <v>229</v>
      </c>
      <c r="H238" s="69" t="s">
        <v>1692</v>
      </c>
      <c r="I238" s="69" t="s">
        <v>59</v>
      </c>
      <c r="J238" s="86">
        <v>54</v>
      </c>
      <c r="K238" s="87" t="s">
        <v>1693</v>
      </c>
      <c r="L238" s="87" t="s">
        <v>1693</v>
      </c>
      <c r="M238" s="73">
        <v>6204430000</v>
      </c>
      <c r="N238" s="7"/>
      <c r="O238" s="88" t="s">
        <v>94</v>
      </c>
      <c r="P238">
        <v>1</v>
      </c>
    </row>
    <row r="239" spans="1:16" customFormat="1" ht="15">
      <c r="A239" s="84" t="str">
        <f>LEFT(M239,4)</f>
        <v>6204</v>
      </c>
      <c r="B239" s="84" t="str">
        <f t="shared" si="4"/>
        <v>ПЛАТЬЕ Без товарного знака жен. Артикул 7516 цвет РАЗНОЦВЕТНЫЙ р. 50</v>
      </c>
      <c r="C239" s="69" t="s">
        <v>1690</v>
      </c>
      <c r="D239" s="69" t="s">
        <v>55</v>
      </c>
      <c r="E239" s="85">
        <v>7516</v>
      </c>
      <c r="F239" s="69" t="s">
        <v>1691</v>
      </c>
      <c r="G239" s="72" t="s">
        <v>229</v>
      </c>
      <c r="H239" s="69" t="s">
        <v>1692</v>
      </c>
      <c r="I239" s="69" t="s">
        <v>59</v>
      </c>
      <c r="J239" s="86">
        <v>50</v>
      </c>
      <c r="K239" s="87" t="s">
        <v>1706</v>
      </c>
      <c r="L239" s="87" t="s">
        <v>1706</v>
      </c>
      <c r="M239" s="73">
        <v>6204440000</v>
      </c>
      <c r="N239" s="7"/>
      <c r="O239" s="88" t="s">
        <v>1749</v>
      </c>
      <c r="P239">
        <v>1</v>
      </c>
    </row>
    <row r="240" spans="1:16" customFormat="1" ht="15">
      <c r="A240" s="84" t="str">
        <f>LEFT(M240,4)</f>
        <v>6204</v>
      </c>
      <c r="B240" s="84" t="str">
        <f t="shared" si="4"/>
        <v>ПЛАТЬЕ Без товарного знака жен. Артикул 7516 цвет РАЗНОЦВЕТНЫЙ р. 52</v>
      </c>
      <c r="C240" s="69" t="s">
        <v>1690</v>
      </c>
      <c r="D240" s="69" t="s">
        <v>55</v>
      </c>
      <c r="E240" s="85">
        <v>7516</v>
      </c>
      <c r="F240" s="69" t="s">
        <v>1691</v>
      </c>
      <c r="G240" s="72" t="s">
        <v>229</v>
      </c>
      <c r="H240" s="69" t="s">
        <v>1692</v>
      </c>
      <c r="I240" s="69" t="s">
        <v>59</v>
      </c>
      <c r="J240" s="86">
        <v>52</v>
      </c>
      <c r="K240" s="87" t="s">
        <v>1706</v>
      </c>
      <c r="L240" s="87" t="s">
        <v>1706</v>
      </c>
      <c r="M240" s="73">
        <v>6204440000</v>
      </c>
      <c r="N240" s="7"/>
      <c r="O240" s="88" t="s">
        <v>1749</v>
      </c>
      <c r="P240">
        <v>1</v>
      </c>
    </row>
    <row r="241" spans="1:16" customFormat="1" ht="15">
      <c r="A241" s="84" t="str">
        <f>LEFT(M241,4)</f>
        <v>6204</v>
      </c>
      <c r="B241" s="84" t="str">
        <f t="shared" si="4"/>
        <v>ПЛАТЬЕ Без товарного знака жен. Артикул 7516 цвет РАЗНОЦВЕТНЫЙ р. 54</v>
      </c>
      <c r="C241" s="69" t="s">
        <v>1690</v>
      </c>
      <c r="D241" s="69" t="s">
        <v>55</v>
      </c>
      <c r="E241" s="85">
        <v>7516</v>
      </c>
      <c r="F241" s="69" t="s">
        <v>1691</v>
      </c>
      <c r="G241" s="72" t="s">
        <v>229</v>
      </c>
      <c r="H241" s="69" t="s">
        <v>1692</v>
      </c>
      <c r="I241" s="69" t="s">
        <v>59</v>
      </c>
      <c r="J241" s="86">
        <v>54</v>
      </c>
      <c r="K241" s="87" t="s">
        <v>1706</v>
      </c>
      <c r="L241" s="87" t="s">
        <v>1706</v>
      </c>
      <c r="M241" s="73">
        <v>6204440000</v>
      </c>
      <c r="N241" s="7"/>
      <c r="O241" s="88" t="s">
        <v>1749</v>
      </c>
      <c r="P241">
        <v>1</v>
      </c>
    </row>
    <row r="242" spans="1:16" customFormat="1" ht="15">
      <c r="A242" s="84" t="str">
        <f>LEFT(M242,4)</f>
        <v>6204</v>
      </c>
      <c r="B242" s="84" t="str">
        <f t="shared" si="4"/>
        <v>ПЛАТЬЕ Без товарного знака жен. Артикул 7516 цвет РАЗНОЦВЕТНЫЙ р. 56</v>
      </c>
      <c r="C242" s="69" t="s">
        <v>1690</v>
      </c>
      <c r="D242" s="69" t="s">
        <v>55</v>
      </c>
      <c r="E242" s="85">
        <v>7516</v>
      </c>
      <c r="F242" s="69" t="s">
        <v>1691</v>
      </c>
      <c r="G242" s="72" t="s">
        <v>229</v>
      </c>
      <c r="H242" s="69" t="s">
        <v>1692</v>
      </c>
      <c r="I242" s="69" t="s">
        <v>59</v>
      </c>
      <c r="J242" s="86">
        <v>56</v>
      </c>
      <c r="K242" s="87" t="s">
        <v>1706</v>
      </c>
      <c r="L242" s="87" t="s">
        <v>1706</v>
      </c>
      <c r="M242" s="73">
        <v>6204440000</v>
      </c>
      <c r="N242" s="7"/>
      <c r="O242" s="88" t="s">
        <v>1749</v>
      </c>
      <c r="P242">
        <v>1</v>
      </c>
    </row>
    <row r="243" spans="1:16" customFormat="1" ht="15">
      <c r="A243" s="84" t="str">
        <f>LEFT(M243,4)</f>
        <v>6204</v>
      </c>
      <c r="B243" s="84" t="str">
        <f t="shared" si="4"/>
        <v>ПЛАТЬЕ Без товарного знака жен. Артикул 4659 цвет РОЗОВЫЙ р. 50</v>
      </c>
      <c r="C243" s="69" t="s">
        <v>1690</v>
      </c>
      <c r="D243" s="69" t="s">
        <v>55</v>
      </c>
      <c r="E243" s="85">
        <v>4659</v>
      </c>
      <c r="F243" s="69" t="s">
        <v>1691</v>
      </c>
      <c r="G243" s="72" t="s">
        <v>235</v>
      </c>
      <c r="H243" s="69" t="s">
        <v>1692</v>
      </c>
      <c r="I243" s="69" t="s">
        <v>59</v>
      </c>
      <c r="J243" s="86">
        <v>50</v>
      </c>
      <c r="K243" s="87" t="s">
        <v>1750</v>
      </c>
      <c r="L243" s="87" t="s">
        <v>1750</v>
      </c>
      <c r="M243" s="73">
        <v>6204430000</v>
      </c>
      <c r="N243" s="7"/>
      <c r="O243" s="88" t="s">
        <v>1749</v>
      </c>
      <c r="P243">
        <v>1</v>
      </c>
    </row>
    <row r="244" spans="1:16" customFormat="1" ht="15">
      <c r="A244" s="84" t="str">
        <f>LEFT(M244,4)</f>
        <v>6204</v>
      </c>
      <c r="B244" s="84" t="str">
        <f t="shared" si="4"/>
        <v>ПЛАТЬЕ Без товарного знака жен. Артикул 4659 цвет ХАКИ р. 50</v>
      </c>
      <c r="C244" s="69" t="s">
        <v>1690</v>
      </c>
      <c r="D244" s="69" t="s">
        <v>55</v>
      </c>
      <c r="E244" s="85">
        <v>4659</v>
      </c>
      <c r="F244" s="69" t="s">
        <v>1691</v>
      </c>
      <c r="G244" s="72" t="s">
        <v>324</v>
      </c>
      <c r="H244" s="69" t="s">
        <v>1692</v>
      </c>
      <c r="I244" s="69" t="s">
        <v>59</v>
      </c>
      <c r="J244" s="86">
        <v>50</v>
      </c>
      <c r="K244" s="87" t="s">
        <v>1750</v>
      </c>
      <c r="L244" s="87" t="s">
        <v>1750</v>
      </c>
      <c r="M244" s="73">
        <v>6204430000</v>
      </c>
      <c r="N244" s="7"/>
      <c r="O244" s="88" t="s">
        <v>1749</v>
      </c>
      <c r="P244">
        <v>1</v>
      </c>
    </row>
    <row r="245" spans="1:16" customFormat="1" ht="15">
      <c r="A245" s="84" t="str">
        <f>LEFT(M245,4)</f>
        <v>6204</v>
      </c>
      <c r="B245" s="84" t="str">
        <f t="shared" si="4"/>
        <v>ПЛАТЬЕ Без товарного знака жен. Артикул 4659 цвет ХАКИ р. 56</v>
      </c>
      <c r="C245" s="69" t="s">
        <v>1690</v>
      </c>
      <c r="D245" s="69" t="s">
        <v>55</v>
      </c>
      <c r="E245" s="85">
        <v>4659</v>
      </c>
      <c r="F245" s="69" t="s">
        <v>1691</v>
      </c>
      <c r="G245" s="72" t="s">
        <v>324</v>
      </c>
      <c r="H245" s="69" t="s">
        <v>1692</v>
      </c>
      <c r="I245" s="69" t="s">
        <v>59</v>
      </c>
      <c r="J245" s="86">
        <v>56</v>
      </c>
      <c r="K245" s="87" t="s">
        <v>1750</v>
      </c>
      <c r="L245" s="87" t="s">
        <v>1750</v>
      </c>
      <c r="M245" s="73">
        <v>6204430000</v>
      </c>
      <c r="N245" s="7"/>
      <c r="O245" s="88" t="s">
        <v>1749</v>
      </c>
      <c r="P245">
        <v>1</v>
      </c>
    </row>
    <row r="246" spans="1:16" customFormat="1" ht="15">
      <c r="A246" s="84" t="str">
        <f>LEFT(M246,4)</f>
        <v>6204</v>
      </c>
      <c r="B246" s="84" t="str">
        <f t="shared" si="4"/>
        <v>ПЛАТЬЕ Без товарного знака жен. Артикул 4659 цвет ЛИЛОВЫЙ р. 54</v>
      </c>
      <c r="C246" s="69" t="s">
        <v>1690</v>
      </c>
      <c r="D246" s="69" t="s">
        <v>55</v>
      </c>
      <c r="E246" s="85">
        <v>4659</v>
      </c>
      <c r="F246" s="69" t="s">
        <v>1691</v>
      </c>
      <c r="G246" s="72" t="s">
        <v>193</v>
      </c>
      <c r="H246" s="69" t="s">
        <v>1692</v>
      </c>
      <c r="I246" s="69" t="s">
        <v>59</v>
      </c>
      <c r="J246" s="86">
        <v>54</v>
      </c>
      <c r="K246" s="87" t="s">
        <v>1750</v>
      </c>
      <c r="L246" s="87" t="s">
        <v>1750</v>
      </c>
      <c r="M246" s="73">
        <v>6204430000</v>
      </c>
      <c r="N246" s="7"/>
      <c r="O246" s="88" t="s">
        <v>1749</v>
      </c>
      <c r="P246">
        <v>1</v>
      </c>
    </row>
    <row r="247" spans="1:16" customFormat="1" ht="15">
      <c r="A247" s="84" t="str">
        <f>LEFT(M247,4)</f>
        <v>6204</v>
      </c>
      <c r="B247" s="84" t="str">
        <f t="shared" si="4"/>
        <v>ПЛАТЬЕ Без товарного знака жен. Артикул 1368 цвет БИРЮЗОВЫЙ р. 50</v>
      </c>
      <c r="C247" s="69" t="s">
        <v>1690</v>
      </c>
      <c r="D247" s="69" t="s">
        <v>55</v>
      </c>
      <c r="E247" s="85">
        <v>1368</v>
      </c>
      <c r="F247" s="69" t="s">
        <v>1691</v>
      </c>
      <c r="G247" s="72" t="s">
        <v>111</v>
      </c>
      <c r="H247" s="69" t="s">
        <v>1692</v>
      </c>
      <c r="I247" s="69" t="s">
        <v>59</v>
      </c>
      <c r="J247" s="86">
        <v>50</v>
      </c>
      <c r="K247" s="87" t="s">
        <v>1693</v>
      </c>
      <c r="L247" s="87" t="s">
        <v>1693</v>
      </c>
      <c r="M247" s="73">
        <v>6204430000</v>
      </c>
      <c r="N247" s="7"/>
      <c r="O247" s="88" t="s">
        <v>94</v>
      </c>
      <c r="P247">
        <v>1</v>
      </c>
    </row>
    <row r="248" spans="1:16" customFormat="1" ht="15">
      <c r="A248" s="84" t="str">
        <f>LEFT(M248,4)</f>
        <v>6204</v>
      </c>
      <c r="B248" s="84" t="str">
        <f t="shared" si="4"/>
        <v>ПЛАТЬЕ Без товарного знака жен. Артикул 1050 цвет БИРЮЗОВЫЙ р. 50</v>
      </c>
      <c r="C248" s="69" t="s">
        <v>1690</v>
      </c>
      <c r="D248" s="69" t="s">
        <v>55</v>
      </c>
      <c r="E248" s="85">
        <v>1050</v>
      </c>
      <c r="F248" s="69" t="s">
        <v>1691</v>
      </c>
      <c r="G248" s="72" t="s">
        <v>111</v>
      </c>
      <c r="H248" s="69" t="s">
        <v>1692</v>
      </c>
      <c r="I248" s="69" t="s">
        <v>59</v>
      </c>
      <c r="J248" s="86">
        <v>50</v>
      </c>
      <c r="K248" s="87" t="s">
        <v>1693</v>
      </c>
      <c r="L248" s="87" t="s">
        <v>1693</v>
      </c>
      <c r="M248" s="73">
        <v>6204430000</v>
      </c>
      <c r="N248" s="7"/>
      <c r="O248" s="88" t="s">
        <v>94</v>
      </c>
      <c r="P248">
        <v>1</v>
      </c>
    </row>
    <row r="249" spans="1:16" customFormat="1" ht="15">
      <c r="A249" s="84" t="str">
        <f>LEFT(M249,4)</f>
        <v>6204</v>
      </c>
      <c r="B249" s="84" t="str">
        <f t="shared" si="4"/>
        <v>ПЛАТЬЕ Без товарного знака жен. Артикул 1050 цвет БИРЮЗОВЫЙ р. 56</v>
      </c>
      <c r="C249" s="69" t="s">
        <v>1690</v>
      </c>
      <c r="D249" s="69" t="s">
        <v>55</v>
      </c>
      <c r="E249" s="85">
        <v>1050</v>
      </c>
      <c r="F249" s="69" t="s">
        <v>1691</v>
      </c>
      <c r="G249" s="72" t="s">
        <v>111</v>
      </c>
      <c r="H249" s="69" t="s">
        <v>1692</v>
      </c>
      <c r="I249" s="69" t="s">
        <v>59</v>
      </c>
      <c r="J249" s="86">
        <v>56</v>
      </c>
      <c r="K249" s="87" t="s">
        <v>1693</v>
      </c>
      <c r="L249" s="87" t="s">
        <v>1693</v>
      </c>
      <c r="M249" s="73">
        <v>6204430000</v>
      </c>
      <c r="N249" s="7"/>
      <c r="O249" s="88" t="s">
        <v>94</v>
      </c>
      <c r="P249">
        <v>1</v>
      </c>
    </row>
    <row r="250" spans="1:16" customFormat="1" ht="15">
      <c r="A250" s="84" t="str">
        <f>LEFT(M250,4)</f>
        <v>6204</v>
      </c>
      <c r="B250" s="84" t="str">
        <f t="shared" si="4"/>
        <v>ПЛАТЬЕ Без товарного знака жен. Артикул 7495 цвет СВЕТЛО-БИРЮЗОВЫЙ р. 60</v>
      </c>
      <c r="C250" s="69" t="s">
        <v>1690</v>
      </c>
      <c r="D250" s="69" t="s">
        <v>55</v>
      </c>
      <c r="E250" s="85">
        <v>7495</v>
      </c>
      <c r="F250" s="69" t="s">
        <v>1691</v>
      </c>
      <c r="G250" s="72" t="s">
        <v>1751</v>
      </c>
      <c r="H250" s="69" t="s">
        <v>1692</v>
      </c>
      <c r="I250" s="69" t="s">
        <v>59</v>
      </c>
      <c r="J250" s="86">
        <v>60</v>
      </c>
      <c r="K250" s="87" t="s">
        <v>1693</v>
      </c>
      <c r="L250" s="87" t="s">
        <v>1693</v>
      </c>
      <c r="M250" s="73">
        <v>6204430000</v>
      </c>
      <c r="N250" s="7"/>
      <c r="O250" s="88" t="s">
        <v>59</v>
      </c>
      <c r="P250">
        <v>1</v>
      </c>
    </row>
    <row r="251" spans="1:16" customFormat="1" ht="15">
      <c r="A251" s="84" t="str">
        <f>LEFT(M251,4)</f>
        <v>6204</v>
      </c>
      <c r="B251" s="84" t="str">
        <f t="shared" si="4"/>
        <v>ПЛАТЬЕ Без товарного знака жен. Артикул 7495 цвет СВЕТЛО-БИРЮЗОВЫЙ р. 62</v>
      </c>
      <c r="C251" s="69" t="s">
        <v>1690</v>
      </c>
      <c r="D251" s="69" t="s">
        <v>55</v>
      </c>
      <c r="E251" s="85">
        <v>7495</v>
      </c>
      <c r="F251" s="69" t="s">
        <v>1691</v>
      </c>
      <c r="G251" s="72" t="s">
        <v>1751</v>
      </c>
      <c r="H251" s="69" t="s">
        <v>1692</v>
      </c>
      <c r="I251" s="69" t="s">
        <v>59</v>
      </c>
      <c r="J251" s="86">
        <v>62</v>
      </c>
      <c r="K251" s="87" t="s">
        <v>1693</v>
      </c>
      <c r="L251" s="87" t="s">
        <v>1693</v>
      </c>
      <c r="M251" s="73">
        <v>6204430000</v>
      </c>
      <c r="N251" s="7"/>
      <c r="O251" s="88" t="s">
        <v>59</v>
      </c>
      <c r="P251">
        <v>1</v>
      </c>
    </row>
    <row r="252" spans="1:16" customFormat="1" ht="15">
      <c r="A252" s="84" t="str">
        <f>LEFT(M252,4)</f>
        <v>6204</v>
      </c>
      <c r="B252" s="84" t="str">
        <f t="shared" si="4"/>
        <v>ПЛАТЬЕ Без товарного знака жен. Артикул 6030 цвет РАЗНОЦВЕТНЫЙ р. 62</v>
      </c>
      <c r="C252" s="69" t="s">
        <v>1690</v>
      </c>
      <c r="D252" s="69" t="s">
        <v>55</v>
      </c>
      <c r="E252" s="85">
        <v>6030</v>
      </c>
      <c r="F252" s="69" t="s">
        <v>1691</v>
      </c>
      <c r="G252" s="72" t="s">
        <v>229</v>
      </c>
      <c r="H252" s="69" t="s">
        <v>1692</v>
      </c>
      <c r="I252" s="69" t="s">
        <v>59</v>
      </c>
      <c r="J252" s="86">
        <v>62</v>
      </c>
      <c r="K252" s="87" t="s">
        <v>1706</v>
      </c>
      <c r="L252" s="87" t="s">
        <v>1706</v>
      </c>
      <c r="M252" s="73">
        <v>6204440000</v>
      </c>
      <c r="N252" s="7"/>
      <c r="O252" s="88" t="s">
        <v>582</v>
      </c>
      <c r="P252">
        <v>1</v>
      </c>
    </row>
    <row r="253" spans="1:16" customFormat="1" ht="15">
      <c r="A253" s="84" t="str">
        <f>LEFT(M253,4)</f>
        <v>6204</v>
      </c>
      <c r="B253" s="84" t="str">
        <f t="shared" si="4"/>
        <v>ПЛАТЬЕ Без товарного знака жен. Артикул 6030 цвет РАЗНОЦВЕТНЫЙ р. 64</v>
      </c>
      <c r="C253" s="69" t="s">
        <v>1690</v>
      </c>
      <c r="D253" s="69" t="s">
        <v>55</v>
      </c>
      <c r="E253" s="85">
        <v>6030</v>
      </c>
      <c r="F253" s="69" t="s">
        <v>1691</v>
      </c>
      <c r="G253" s="72" t="s">
        <v>229</v>
      </c>
      <c r="H253" s="69" t="s">
        <v>1692</v>
      </c>
      <c r="I253" s="69" t="s">
        <v>59</v>
      </c>
      <c r="J253" s="86">
        <v>64</v>
      </c>
      <c r="K253" s="87" t="s">
        <v>1706</v>
      </c>
      <c r="L253" s="87" t="s">
        <v>1706</v>
      </c>
      <c r="M253" s="73">
        <v>6204440000</v>
      </c>
      <c r="N253" s="7"/>
      <c r="O253" s="88" t="s">
        <v>582</v>
      </c>
      <c r="P253">
        <v>1</v>
      </c>
    </row>
    <row r="254" spans="1:16" customFormat="1" ht="15">
      <c r="A254" s="84" t="str">
        <f>LEFT(M254,4)</f>
        <v>6204</v>
      </c>
      <c r="B254" s="84" t="str">
        <f t="shared" si="4"/>
        <v>ПЛАТЬЕ Без товарного знака жен. Артикул 7202 цвет РАЗНОЦВЕТНЫЙ р. 52</v>
      </c>
      <c r="C254" s="69" t="s">
        <v>1690</v>
      </c>
      <c r="D254" s="69" t="s">
        <v>55</v>
      </c>
      <c r="E254" s="85">
        <v>7202</v>
      </c>
      <c r="F254" s="69" t="s">
        <v>1691</v>
      </c>
      <c r="G254" s="72" t="s">
        <v>229</v>
      </c>
      <c r="H254" s="69" t="s">
        <v>1692</v>
      </c>
      <c r="I254" s="69" t="s">
        <v>59</v>
      </c>
      <c r="J254" s="86">
        <v>52</v>
      </c>
      <c r="K254" s="87" t="s">
        <v>1693</v>
      </c>
      <c r="L254" s="87" t="s">
        <v>1693</v>
      </c>
      <c r="M254" s="73">
        <v>6204430000</v>
      </c>
      <c r="N254" s="7"/>
      <c r="O254" s="88" t="s">
        <v>582</v>
      </c>
      <c r="P254">
        <v>1</v>
      </c>
    </row>
    <row r="255" spans="1:16" customFormat="1" ht="15">
      <c r="A255" s="84" t="str">
        <f>LEFT(M255,4)</f>
        <v>6204</v>
      </c>
      <c r="B255" s="84" t="str">
        <f t="shared" si="4"/>
        <v>ПЛАТЬЕ Без товарного знака жен. Артикул 7202 цвет РАЗНОЦВЕТНЫЙ р. 54</v>
      </c>
      <c r="C255" s="69" t="s">
        <v>1690</v>
      </c>
      <c r="D255" s="69" t="s">
        <v>55</v>
      </c>
      <c r="E255" s="85">
        <v>7202</v>
      </c>
      <c r="F255" s="69" t="s">
        <v>1691</v>
      </c>
      <c r="G255" s="72" t="s">
        <v>229</v>
      </c>
      <c r="H255" s="69" t="s">
        <v>1692</v>
      </c>
      <c r="I255" s="69" t="s">
        <v>59</v>
      </c>
      <c r="J255" s="86">
        <v>54</v>
      </c>
      <c r="K255" s="87" t="s">
        <v>1693</v>
      </c>
      <c r="L255" s="87" t="s">
        <v>1693</v>
      </c>
      <c r="M255" s="73">
        <v>6204430000</v>
      </c>
      <c r="N255" s="7"/>
      <c r="O255" s="88" t="s">
        <v>582</v>
      </c>
      <c r="P255">
        <v>1</v>
      </c>
    </row>
    <row r="256" spans="1:16" customFormat="1" ht="15">
      <c r="A256" s="84" t="str">
        <f>LEFT(M256,4)</f>
        <v>6204</v>
      </c>
      <c r="B256" s="84" t="str">
        <f t="shared" si="4"/>
        <v>ПЛАТЬЕ Без товарного знака жен. Артикул 7202 цвет РАЗНОЦВЕТНЫЙ р. 58</v>
      </c>
      <c r="C256" s="69" t="s">
        <v>1690</v>
      </c>
      <c r="D256" s="69" t="s">
        <v>55</v>
      </c>
      <c r="E256" s="85">
        <v>7202</v>
      </c>
      <c r="F256" s="69" t="s">
        <v>1691</v>
      </c>
      <c r="G256" s="72" t="s">
        <v>229</v>
      </c>
      <c r="H256" s="69" t="s">
        <v>1692</v>
      </c>
      <c r="I256" s="69" t="s">
        <v>59</v>
      </c>
      <c r="J256" s="86">
        <v>58</v>
      </c>
      <c r="K256" s="87" t="s">
        <v>1693</v>
      </c>
      <c r="L256" s="87" t="s">
        <v>1693</v>
      </c>
      <c r="M256" s="73">
        <v>6204430000</v>
      </c>
      <c r="N256" s="7"/>
      <c r="O256" s="88" t="s">
        <v>582</v>
      </c>
      <c r="P256">
        <v>1</v>
      </c>
    </row>
    <row r="257" spans="1:16" customFormat="1" ht="15">
      <c r="A257" s="84" t="str">
        <f>LEFT(M257,4)</f>
        <v>6204</v>
      </c>
      <c r="B257" s="84" t="str">
        <f t="shared" si="4"/>
        <v>ПЛАТЬЕ Без товарного знака жен. Артикул 7640 цвет РАЗНОЦВЕТНЫЙ р. 64</v>
      </c>
      <c r="C257" s="69" t="s">
        <v>1690</v>
      </c>
      <c r="D257" s="69" t="s">
        <v>55</v>
      </c>
      <c r="E257" s="85">
        <v>7640</v>
      </c>
      <c r="F257" s="69" t="s">
        <v>1691</v>
      </c>
      <c r="G257" s="72" t="s">
        <v>229</v>
      </c>
      <c r="H257" s="69" t="s">
        <v>1692</v>
      </c>
      <c r="I257" s="69" t="s">
        <v>59</v>
      </c>
      <c r="J257" s="86">
        <v>64</v>
      </c>
      <c r="K257" s="87" t="s">
        <v>1693</v>
      </c>
      <c r="L257" s="87" t="s">
        <v>1693</v>
      </c>
      <c r="M257" s="73">
        <v>6204430000</v>
      </c>
      <c r="N257" s="7"/>
      <c r="O257" s="88" t="s">
        <v>582</v>
      </c>
      <c r="P257">
        <v>1</v>
      </c>
    </row>
    <row r="258" spans="1:16" customFormat="1" ht="15">
      <c r="A258" s="84" t="str">
        <f>LEFT(M258,4)</f>
        <v>6204</v>
      </c>
      <c r="B258" s="84" t="str">
        <f t="shared" si="4"/>
        <v>ПЛАТЬЕ Без товарного знака жен. Артикул 1095 цвет РАЗНОЦВЕТНЫЙ р. 52</v>
      </c>
      <c r="C258" s="69" t="s">
        <v>1690</v>
      </c>
      <c r="D258" s="69" t="s">
        <v>55</v>
      </c>
      <c r="E258" s="85">
        <v>1095</v>
      </c>
      <c r="F258" s="69" t="s">
        <v>1691</v>
      </c>
      <c r="G258" s="72" t="s">
        <v>229</v>
      </c>
      <c r="H258" s="69" t="s">
        <v>1692</v>
      </c>
      <c r="I258" s="69" t="s">
        <v>59</v>
      </c>
      <c r="J258" s="86">
        <v>52</v>
      </c>
      <c r="K258" s="87" t="s">
        <v>1693</v>
      </c>
      <c r="L258" s="87" t="s">
        <v>1693</v>
      </c>
      <c r="M258" s="73">
        <v>6204430000</v>
      </c>
      <c r="N258" s="7"/>
      <c r="O258" s="88" t="s">
        <v>582</v>
      </c>
      <c r="P258">
        <v>1</v>
      </c>
    </row>
    <row r="259" spans="1:16" customFormat="1" ht="15">
      <c r="A259" s="84" t="str">
        <f>LEFT(M259,4)</f>
        <v>6204</v>
      </c>
      <c r="B259" s="84" t="str">
        <f t="shared" si="4"/>
        <v>ПЛАТЬЕ Без товарного знака жен. Артикул 1095 цвет РАЗНОЦВЕТНЫЙ р. 54</v>
      </c>
      <c r="C259" s="69" t="s">
        <v>1690</v>
      </c>
      <c r="D259" s="69" t="s">
        <v>55</v>
      </c>
      <c r="E259" s="85">
        <v>1095</v>
      </c>
      <c r="F259" s="69" t="s">
        <v>1691</v>
      </c>
      <c r="G259" s="72" t="s">
        <v>229</v>
      </c>
      <c r="H259" s="69" t="s">
        <v>1692</v>
      </c>
      <c r="I259" s="69" t="s">
        <v>59</v>
      </c>
      <c r="J259" s="86">
        <v>54</v>
      </c>
      <c r="K259" s="87" t="s">
        <v>1693</v>
      </c>
      <c r="L259" s="87" t="s">
        <v>1693</v>
      </c>
      <c r="M259" s="73">
        <v>6204430000</v>
      </c>
      <c r="N259" s="7"/>
      <c r="O259" s="88" t="s">
        <v>582</v>
      </c>
      <c r="P259">
        <v>1</v>
      </c>
    </row>
    <row r="260" spans="1:16" customFormat="1" ht="15">
      <c r="A260" s="84" t="str">
        <f>LEFT(M260,4)</f>
        <v>6204</v>
      </c>
      <c r="B260" s="84" t="str">
        <f t="shared" si="4"/>
        <v>ПЛАТЬЕ Без товарного знака жен. Артикул 1095 цвет РАЗНОЦВЕТНЫЙ р. 56</v>
      </c>
      <c r="C260" s="69" t="s">
        <v>1690</v>
      </c>
      <c r="D260" s="69" t="s">
        <v>55</v>
      </c>
      <c r="E260" s="85">
        <v>1095</v>
      </c>
      <c r="F260" s="69" t="s">
        <v>1691</v>
      </c>
      <c r="G260" s="72" t="s">
        <v>229</v>
      </c>
      <c r="H260" s="69" t="s">
        <v>1692</v>
      </c>
      <c r="I260" s="69" t="s">
        <v>59</v>
      </c>
      <c r="J260" s="86">
        <v>56</v>
      </c>
      <c r="K260" s="87" t="s">
        <v>1693</v>
      </c>
      <c r="L260" s="87" t="s">
        <v>1693</v>
      </c>
      <c r="M260" s="73">
        <v>6204430000</v>
      </c>
      <c r="N260" s="7"/>
      <c r="O260" s="88" t="s">
        <v>582</v>
      </c>
      <c r="P260">
        <v>1</v>
      </c>
    </row>
    <row r="261" spans="1:16" customFormat="1" ht="15">
      <c r="A261" s="84" t="str">
        <f>LEFT(M261,4)</f>
        <v>6204</v>
      </c>
      <c r="B261" s="84" t="str">
        <f t="shared" si="4"/>
        <v>ПЛАТЬЕ Без товарного знака жен. Артикул 7614 цвет РАЗНОЦВЕТНЫЙ р. 58</v>
      </c>
      <c r="C261" s="69" t="s">
        <v>1690</v>
      </c>
      <c r="D261" s="69" t="s">
        <v>55</v>
      </c>
      <c r="E261" s="85">
        <v>7614</v>
      </c>
      <c r="F261" s="69" t="s">
        <v>1691</v>
      </c>
      <c r="G261" s="72" t="s">
        <v>229</v>
      </c>
      <c r="H261" s="69" t="s">
        <v>1692</v>
      </c>
      <c r="I261" s="69" t="s">
        <v>59</v>
      </c>
      <c r="J261" s="86">
        <v>58</v>
      </c>
      <c r="K261" s="87" t="s">
        <v>1693</v>
      </c>
      <c r="L261" s="87" t="s">
        <v>1693</v>
      </c>
      <c r="M261" s="73">
        <v>6204430000</v>
      </c>
      <c r="N261" s="7"/>
      <c r="O261" s="88" t="s">
        <v>582</v>
      </c>
      <c r="P261">
        <v>1</v>
      </c>
    </row>
    <row r="262" spans="1:16" customFormat="1" ht="15">
      <c r="A262" s="84" t="str">
        <f>LEFT(M262,4)</f>
        <v>6204</v>
      </c>
      <c r="B262" s="84" t="str">
        <f t="shared" si="4"/>
        <v>ПЛАТЬЕ Без товарного знака жен. Артикул 7614 цвет РАЗНОЦВЕТНЫЙ р. 60</v>
      </c>
      <c r="C262" s="69" t="s">
        <v>1690</v>
      </c>
      <c r="D262" s="69" t="s">
        <v>55</v>
      </c>
      <c r="E262" s="85">
        <v>7614</v>
      </c>
      <c r="F262" s="69" t="s">
        <v>1691</v>
      </c>
      <c r="G262" s="72" t="s">
        <v>229</v>
      </c>
      <c r="H262" s="69" t="s">
        <v>1692</v>
      </c>
      <c r="I262" s="69" t="s">
        <v>59</v>
      </c>
      <c r="J262" s="86">
        <v>60</v>
      </c>
      <c r="K262" s="87" t="s">
        <v>1693</v>
      </c>
      <c r="L262" s="87" t="s">
        <v>1693</v>
      </c>
      <c r="M262" s="73">
        <v>6204430000</v>
      </c>
      <c r="N262" s="7"/>
      <c r="O262" s="88" t="s">
        <v>582</v>
      </c>
      <c r="P262">
        <v>1</v>
      </c>
    </row>
    <row r="263" spans="1:16" customFormat="1" ht="15">
      <c r="A263" s="84" t="str">
        <f>LEFT(M263,4)</f>
        <v>6204</v>
      </c>
      <c r="B263" s="84" t="str">
        <f t="shared" si="4"/>
        <v>ПЛАТЬЕ Без товарного знака жен. Артикул 7614 цвет РАЗНОЦВЕТНЫЙ р. 62</v>
      </c>
      <c r="C263" s="69" t="s">
        <v>1690</v>
      </c>
      <c r="D263" s="69" t="s">
        <v>55</v>
      </c>
      <c r="E263" s="85">
        <v>7614</v>
      </c>
      <c r="F263" s="69" t="s">
        <v>1691</v>
      </c>
      <c r="G263" s="72" t="s">
        <v>229</v>
      </c>
      <c r="H263" s="69" t="s">
        <v>1692</v>
      </c>
      <c r="I263" s="69" t="s">
        <v>59</v>
      </c>
      <c r="J263" s="86">
        <v>62</v>
      </c>
      <c r="K263" s="87" t="s">
        <v>1693</v>
      </c>
      <c r="L263" s="87" t="s">
        <v>1693</v>
      </c>
      <c r="M263" s="73">
        <v>6204430000</v>
      </c>
      <c r="N263" s="7"/>
      <c r="O263" s="88" t="s">
        <v>582</v>
      </c>
      <c r="P263">
        <v>1</v>
      </c>
    </row>
    <row r="264" spans="1:16" customFormat="1" ht="15">
      <c r="A264" s="84" t="str">
        <f>LEFT(M264,4)</f>
        <v>6204</v>
      </c>
      <c r="B264" s="84" t="str">
        <f t="shared" si="4"/>
        <v>ПЛАТЬЕ Без товарного знака жен. Артикул 7614 цвет РАЗНОЦВЕТНЫЙ р. 64</v>
      </c>
      <c r="C264" s="69" t="s">
        <v>1690</v>
      </c>
      <c r="D264" s="69" t="s">
        <v>55</v>
      </c>
      <c r="E264" s="85">
        <v>7614</v>
      </c>
      <c r="F264" s="69" t="s">
        <v>1691</v>
      </c>
      <c r="G264" s="72" t="s">
        <v>229</v>
      </c>
      <c r="H264" s="69" t="s">
        <v>1692</v>
      </c>
      <c r="I264" s="69" t="s">
        <v>59</v>
      </c>
      <c r="J264" s="86">
        <v>64</v>
      </c>
      <c r="K264" s="87" t="s">
        <v>1693</v>
      </c>
      <c r="L264" s="87" t="s">
        <v>1693</v>
      </c>
      <c r="M264" s="73">
        <v>6204430000</v>
      </c>
      <c r="N264" s="7"/>
      <c r="O264" s="88" t="s">
        <v>582</v>
      </c>
      <c r="P264">
        <v>1</v>
      </c>
    </row>
    <row r="265" spans="1:16" customFormat="1" ht="15">
      <c r="A265" s="84" t="str">
        <f>LEFT(M265,4)</f>
        <v>6204</v>
      </c>
      <c r="B265" s="84" t="str">
        <f t="shared" si="4"/>
        <v>ПЛАТЬЕ Без товарного знака жен. Артикул 160 цвет ЗОЛОТОЙ р. 60</v>
      </c>
      <c r="C265" s="69" t="s">
        <v>1690</v>
      </c>
      <c r="D265" s="69" t="s">
        <v>55</v>
      </c>
      <c r="E265" s="85">
        <v>160</v>
      </c>
      <c r="F265" s="69" t="s">
        <v>1691</v>
      </c>
      <c r="G265" s="75" t="s">
        <v>156</v>
      </c>
      <c r="H265" s="69" t="s">
        <v>1692</v>
      </c>
      <c r="I265" s="69" t="s">
        <v>59</v>
      </c>
      <c r="J265" s="86">
        <v>60</v>
      </c>
      <c r="K265" s="87" t="s">
        <v>1706</v>
      </c>
      <c r="L265" s="87" t="s">
        <v>1706</v>
      </c>
      <c r="M265" s="73">
        <v>6204440000</v>
      </c>
      <c r="N265" s="7"/>
      <c r="O265" s="88" t="s">
        <v>94</v>
      </c>
      <c r="P265">
        <v>1</v>
      </c>
    </row>
    <row r="266" spans="1:16" customFormat="1" ht="15">
      <c r="A266" s="84" t="str">
        <f>LEFT(M266,4)</f>
        <v>6204</v>
      </c>
      <c r="B266" s="84" t="str">
        <f t="shared" si="4"/>
        <v>ПЛАТЬЕ Без товарного знака жен. Артикул 673 цвет СИНИЙ р. 58</v>
      </c>
      <c r="C266" s="69" t="s">
        <v>1690</v>
      </c>
      <c r="D266" s="69" t="s">
        <v>55</v>
      </c>
      <c r="E266" s="85">
        <v>673</v>
      </c>
      <c r="F266" s="69" t="s">
        <v>1691</v>
      </c>
      <c r="G266" s="72" t="s">
        <v>279</v>
      </c>
      <c r="H266" s="69" t="s">
        <v>1692</v>
      </c>
      <c r="I266" s="69" t="s">
        <v>59</v>
      </c>
      <c r="J266" s="86">
        <v>58</v>
      </c>
      <c r="K266" s="87" t="s">
        <v>1693</v>
      </c>
      <c r="L266" s="87" t="s">
        <v>1693</v>
      </c>
      <c r="M266" s="73">
        <v>6204430000</v>
      </c>
      <c r="N266" s="7"/>
      <c r="O266" s="88" t="s">
        <v>1752</v>
      </c>
      <c r="P266">
        <v>1</v>
      </c>
    </row>
    <row r="267" spans="1:16" customFormat="1" ht="15">
      <c r="A267" s="84" t="str">
        <f>LEFT(M267,4)</f>
        <v>6204</v>
      </c>
      <c r="B267" s="84" t="str">
        <f t="shared" si="4"/>
        <v>ПЛАТЬЕ Без товарного знака жен. Артикул 5896 цвет РАЗНОЦВЕТНЫЙ р. 62</v>
      </c>
      <c r="C267" s="69" t="s">
        <v>1690</v>
      </c>
      <c r="D267" s="69" t="s">
        <v>55</v>
      </c>
      <c r="E267" s="85">
        <v>5896</v>
      </c>
      <c r="F267" s="69" t="s">
        <v>1691</v>
      </c>
      <c r="G267" s="72" t="s">
        <v>229</v>
      </c>
      <c r="H267" s="69" t="s">
        <v>1692</v>
      </c>
      <c r="I267" s="69" t="s">
        <v>59</v>
      </c>
      <c r="J267" s="86">
        <v>62</v>
      </c>
      <c r="K267" s="87" t="s">
        <v>1693</v>
      </c>
      <c r="L267" s="87" t="s">
        <v>1693</v>
      </c>
      <c r="M267" s="73">
        <v>6204430000</v>
      </c>
      <c r="N267" s="7"/>
      <c r="O267" s="88" t="s">
        <v>582</v>
      </c>
      <c r="P267">
        <v>1</v>
      </c>
    </row>
    <row r="268" spans="1:16" customFormat="1" ht="15">
      <c r="A268" s="84" t="str">
        <f>LEFT(M268,4)</f>
        <v>6204</v>
      </c>
      <c r="B268" s="84" t="str">
        <f t="shared" si="4"/>
        <v>ПЛАТЬЕ Без товарного знака жен. Артикул 5896 цвет РАЗНОЦВЕТНЫЙ р. 64</v>
      </c>
      <c r="C268" s="69" t="s">
        <v>1690</v>
      </c>
      <c r="D268" s="69" t="s">
        <v>55</v>
      </c>
      <c r="E268" s="85">
        <v>5896</v>
      </c>
      <c r="F268" s="69" t="s">
        <v>1691</v>
      </c>
      <c r="G268" s="72" t="s">
        <v>229</v>
      </c>
      <c r="H268" s="69" t="s">
        <v>1692</v>
      </c>
      <c r="I268" s="69" t="s">
        <v>59</v>
      </c>
      <c r="J268" s="86">
        <v>64</v>
      </c>
      <c r="K268" s="87" t="s">
        <v>1693</v>
      </c>
      <c r="L268" s="87" t="s">
        <v>1693</v>
      </c>
      <c r="M268" s="73">
        <v>6204430000</v>
      </c>
      <c r="N268" s="7"/>
      <c r="O268" s="88" t="s">
        <v>582</v>
      </c>
      <c r="P268">
        <v>1</v>
      </c>
    </row>
    <row r="269" spans="1:16" customFormat="1" ht="15">
      <c r="A269" s="84" t="str">
        <f>LEFT(M269,4)</f>
        <v>6204</v>
      </c>
      <c r="B269" s="84" t="str">
        <f t="shared" si="4"/>
        <v>ПЛАТЬЕ Без товарного знака жен. Артикул 4893 цвет ЧЕРНЫЙ р. 58</v>
      </c>
      <c r="C269" s="69" t="s">
        <v>1690</v>
      </c>
      <c r="D269" s="69" t="s">
        <v>55</v>
      </c>
      <c r="E269" s="85">
        <v>4893</v>
      </c>
      <c r="F269" s="69" t="s">
        <v>1691</v>
      </c>
      <c r="G269" s="72" t="s">
        <v>330</v>
      </c>
      <c r="H269" s="69" t="s">
        <v>1692</v>
      </c>
      <c r="I269" s="69" t="s">
        <v>59</v>
      </c>
      <c r="J269" s="86">
        <v>58</v>
      </c>
      <c r="K269" s="87" t="s">
        <v>1693</v>
      </c>
      <c r="L269" s="87" t="s">
        <v>1693</v>
      </c>
      <c r="M269" s="73">
        <v>6204430000</v>
      </c>
      <c r="N269" s="7"/>
      <c r="O269" s="88" t="s">
        <v>94</v>
      </c>
      <c r="P269">
        <v>1</v>
      </c>
    </row>
    <row r="270" spans="1:16" customFormat="1" ht="15">
      <c r="A270" s="84" t="str">
        <f>LEFT(M270,4)</f>
        <v>6204</v>
      </c>
      <c r="B270" s="84" t="str">
        <f t="shared" si="4"/>
        <v>ПЛАТЬЕ Без товарного знака жен. Артикул 1208 цвет БЕЛЫЙ р. 58</v>
      </c>
      <c r="C270" s="69" t="s">
        <v>1690</v>
      </c>
      <c r="D270" s="69" t="s">
        <v>55</v>
      </c>
      <c r="E270" s="85">
        <v>1208</v>
      </c>
      <c r="F270" s="69" t="s">
        <v>1691</v>
      </c>
      <c r="G270" s="72" t="s">
        <v>98</v>
      </c>
      <c r="H270" s="69" t="s">
        <v>1692</v>
      </c>
      <c r="I270" s="69" t="s">
        <v>59</v>
      </c>
      <c r="J270" s="86">
        <v>58</v>
      </c>
      <c r="K270" s="87" t="s">
        <v>1693</v>
      </c>
      <c r="L270" s="87" t="s">
        <v>1693</v>
      </c>
      <c r="M270" s="73">
        <v>6204430000</v>
      </c>
      <c r="N270" s="7"/>
      <c r="O270" s="88" t="s">
        <v>1752</v>
      </c>
      <c r="P270">
        <v>1</v>
      </c>
    </row>
    <row r="271" spans="1:16" customFormat="1" ht="15">
      <c r="A271" s="84" t="str">
        <f>LEFT(M271,4)</f>
        <v>6204</v>
      </c>
      <c r="B271" s="84" t="str">
        <f t="shared" si="4"/>
        <v>ПЛАТЬЕ Без товарного знака жен. Артикул 3788 цвет ГОЛУБОЙ р. 60</v>
      </c>
      <c r="C271" s="69" t="s">
        <v>1690</v>
      </c>
      <c r="D271" s="69" t="s">
        <v>55</v>
      </c>
      <c r="E271" s="85">
        <v>3788</v>
      </c>
      <c r="F271" s="69" t="s">
        <v>1691</v>
      </c>
      <c r="G271" s="72" t="s">
        <v>141</v>
      </c>
      <c r="H271" s="69" t="s">
        <v>1692</v>
      </c>
      <c r="I271" s="69" t="s">
        <v>59</v>
      </c>
      <c r="J271" s="86">
        <v>60</v>
      </c>
      <c r="K271" s="87" t="s">
        <v>1753</v>
      </c>
      <c r="L271" s="87" t="s">
        <v>1753</v>
      </c>
      <c r="M271" s="73">
        <v>6204420000</v>
      </c>
      <c r="N271" s="7"/>
      <c r="O271" s="88" t="s">
        <v>94</v>
      </c>
      <c r="P271">
        <v>1</v>
      </c>
    </row>
    <row r="272" spans="1:16" customFormat="1" ht="15">
      <c r="A272" s="84" t="str">
        <f>LEFT(M272,4)</f>
        <v>6204</v>
      </c>
      <c r="B272" s="84" t="str">
        <f t="shared" si="4"/>
        <v>ПЛАТЬЕ Без товарного знака жен. Артикул 4489 цвет ЧЕРНЫЙ р. 60</v>
      </c>
      <c r="C272" s="69" t="s">
        <v>1690</v>
      </c>
      <c r="D272" s="69" t="s">
        <v>55</v>
      </c>
      <c r="E272" s="85">
        <v>4489</v>
      </c>
      <c r="F272" s="69" t="s">
        <v>1691</v>
      </c>
      <c r="G272" s="72" t="s">
        <v>330</v>
      </c>
      <c r="H272" s="69" t="s">
        <v>1692</v>
      </c>
      <c r="I272" s="69" t="s">
        <v>59</v>
      </c>
      <c r="J272" s="86">
        <v>60</v>
      </c>
      <c r="K272" s="87" t="s">
        <v>1754</v>
      </c>
      <c r="L272" s="87" t="s">
        <v>1754</v>
      </c>
      <c r="M272" s="73">
        <v>6204430000</v>
      </c>
      <c r="N272" s="7"/>
      <c r="O272" s="88" t="s">
        <v>94</v>
      </c>
      <c r="P272">
        <v>1</v>
      </c>
    </row>
    <row r="273" spans="1:16" customFormat="1" ht="15">
      <c r="A273" s="84" t="str">
        <f>LEFT(M273,4)</f>
        <v>6204</v>
      </c>
      <c r="B273" s="84" t="str">
        <f t="shared" si="4"/>
        <v>ПЛАТЬЕ Без товарного знака жен. Артикул 84 цвет КРАСНЫЙ р. 60</v>
      </c>
      <c r="C273" s="69" t="s">
        <v>1690</v>
      </c>
      <c r="D273" s="69" t="s">
        <v>55</v>
      </c>
      <c r="E273" s="85">
        <v>84</v>
      </c>
      <c r="F273" s="69" t="s">
        <v>1691</v>
      </c>
      <c r="G273" s="72" t="s">
        <v>180</v>
      </c>
      <c r="H273" s="69" t="s">
        <v>1692</v>
      </c>
      <c r="I273" s="69" t="s">
        <v>59</v>
      </c>
      <c r="J273" s="86">
        <v>60</v>
      </c>
      <c r="K273" s="87" t="s">
        <v>1693</v>
      </c>
      <c r="L273" s="87" t="s">
        <v>1693</v>
      </c>
      <c r="M273" s="73">
        <v>6204430000</v>
      </c>
      <c r="N273" s="7"/>
      <c r="O273" s="88" t="s">
        <v>94</v>
      </c>
      <c r="P273">
        <v>1</v>
      </c>
    </row>
    <row r="274" spans="1:16" customFormat="1" ht="15">
      <c r="A274" s="84" t="str">
        <f>LEFT(M274,4)</f>
        <v>6204</v>
      </c>
      <c r="B274" s="84" t="str">
        <f t="shared" si="4"/>
        <v>ПЛАТЬЕ Без товарного знака жен. Артикул 25295 цвет СИНИЙ р. 60</v>
      </c>
      <c r="C274" s="69" t="s">
        <v>1690</v>
      </c>
      <c r="D274" s="69" t="s">
        <v>55</v>
      </c>
      <c r="E274" s="85">
        <v>25295</v>
      </c>
      <c r="F274" s="69" t="s">
        <v>1691</v>
      </c>
      <c r="G274" s="72" t="s">
        <v>279</v>
      </c>
      <c r="H274" s="69" t="s">
        <v>1692</v>
      </c>
      <c r="I274" s="69" t="s">
        <v>59</v>
      </c>
      <c r="J274" s="86">
        <v>60</v>
      </c>
      <c r="K274" s="87" t="s">
        <v>1693</v>
      </c>
      <c r="L274" s="87" t="s">
        <v>1693</v>
      </c>
      <c r="M274" s="73">
        <v>6204430000</v>
      </c>
      <c r="N274" s="7"/>
      <c r="O274" s="88" t="s">
        <v>582</v>
      </c>
      <c r="P274">
        <v>1</v>
      </c>
    </row>
    <row r="275" spans="1:16" customFormat="1" ht="15">
      <c r="A275" s="84" t="str">
        <f>LEFT(M275,4)</f>
        <v>6204</v>
      </c>
      <c r="B275" s="84" t="str">
        <f t="shared" si="4"/>
        <v>ПЛАТЬЕ Без товарного знака жен. Артикул 25295 цвет СИНИЙ р. 62</v>
      </c>
      <c r="C275" s="69" t="s">
        <v>1690</v>
      </c>
      <c r="D275" s="69" t="s">
        <v>55</v>
      </c>
      <c r="E275" s="85">
        <v>25295</v>
      </c>
      <c r="F275" s="69" t="s">
        <v>1691</v>
      </c>
      <c r="G275" s="72" t="s">
        <v>279</v>
      </c>
      <c r="H275" s="69" t="s">
        <v>1692</v>
      </c>
      <c r="I275" s="69" t="s">
        <v>59</v>
      </c>
      <c r="J275" s="86">
        <v>62</v>
      </c>
      <c r="K275" s="87" t="s">
        <v>1693</v>
      </c>
      <c r="L275" s="87" t="s">
        <v>1693</v>
      </c>
      <c r="M275" s="73">
        <v>6204430000</v>
      </c>
      <c r="N275" s="7"/>
      <c r="O275" s="88" t="s">
        <v>582</v>
      </c>
      <c r="P275">
        <v>1</v>
      </c>
    </row>
    <row r="276" spans="1:16" customFormat="1" ht="15">
      <c r="A276" s="84" t="str">
        <f>LEFT(M276,4)</f>
        <v>6204</v>
      </c>
      <c r="B276" s="84" t="str">
        <f t="shared" si="4"/>
        <v>ПЛАТЬЕ Без товарного знака жен. Артикул 25295 цвет СИНИЙ р. 64</v>
      </c>
      <c r="C276" s="69" t="s">
        <v>1690</v>
      </c>
      <c r="D276" s="69" t="s">
        <v>55</v>
      </c>
      <c r="E276" s="85">
        <v>25295</v>
      </c>
      <c r="F276" s="69" t="s">
        <v>1691</v>
      </c>
      <c r="G276" s="72" t="s">
        <v>279</v>
      </c>
      <c r="H276" s="69" t="s">
        <v>1692</v>
      </c>
      <c r="I276" s="69" t="s">
        <v>59</v>
      </c>
      <c r="J276" s="86">
        <v>64</v>
      </c>
      <c r="K276" s="87" t="s">
        <v>1693</v>
      </c>
      <c r="L276" s="87" t="s">
        <v>1693</v>
      </c>
      <c r="M276" s="73">
        <v>6204430000</v>
      </c>
      <c r="N276" s="7"/>
      <c r="O276" s="88" t="s">
        <v>582</v>
      </c>
      <c r="P276">
        <v>1</v>
      </c>
    </row>
    <row r="277" spans="1:16" customFormat="1" ht="15">
      <c r="A277" s="84" t="str">
        <f>LEFT(M277,4)</f>
        <v>6204</v>
      </c>
      <c r="B277" s="84" t="str">
        <f t="shared" si="4"/>
        <v>ПЛАТЬЕ Без товарного знака жен. Артикул 10203 цвет СИНИЙ р. 60</v>
      </c>
      <c r="C277" s="69" t="s">
        <v>1690</v>
      </c>
      <c r="D277" s="69" t="s">
        <v>55</v>
      </c>
      <c r="E277" s="85">
        <v>10203</v>
      </c>
      <c r="F277" s="69" t="s">
        <v>1691</v>
      </c>
      <c r="G277" s="72" t="s">
        <v>279</v>
      </c>
      <c r="H277" s="69" t="s">
        <v>1692</v>
      </c>
      <c r="I277" s="69" t="s">
        <v>59</v>
      </c>
      <c r="J277" s="86">
        <v>60</v>
      </c>
      <c r="K277" s="87" t="s">
        <v>1693</v>
      </c>
      <c r="L277" s="87" t="s">
        <v>1693</v>
      </c>
      <c r="M277" s="73">
        <v>6204420000</v>
      </c>
      <c r="N277" s="7"/>
      <c r="O277" s="88" t="s">
        <v>94</v>
      </c>
      <c r="P277">
        <v>1</v>
      </c>
    </row>
    <row r="278" spans="1:16" customFormat="1" ht="15">
      <c r="A278" s="84" t="str">
        <f>LEFT(M278,4)</f>
        <v>6204</v>
      </c>
      <c r="B278" s="84" t="str">
        <f t="shared" si="4"/>
        <v>ПЛАТЬЕ Без товарного знака жен. Артикул 10203 цвет СИНИЙ р. 56</v>
      </c>
      <c r="C278" s="69" t="s">
        <v>1690</v>
      </c>
      <c r="D278" s="69" t="s">
        <v>55</v>
      </c>
      <c r="E278" s="85">
        <v>10203</v>
      </c>
      <c r="F278" s="69" t="s">
        <v>1691</v>
      </c>
      <c r="G278" s="72" t="s">
        <v>279</v>
      </c>
      <c r="H278" s="69" t="s">
        <v>1692</v>
      </c>
      <c r="I278" s="69" t="s">
        <v>59</v>
      </c>
      <c r="J278" s="86">
        <v>56</v>
      </c>
      <c r="K278" s="87" t="s">
        <v>1693</v>
      </c>
      <c r="L278" s="87" t="s">
        <v>1693</v>
      </c>
      <c r="M278" s="73">
        <v>6204420000</v>
      </c>
      <c r="N278" s="7"/>
      <c r="O278" s="88" t="s">
        <v>94</v>
      </c>
      <c r="P278">
        <v>1</v>
      </c>
    </row>
    <row r="279" spans="1:16" customFormat="1" ht="15">
      <c r="A279" s="84" t="str">
        <f>LEFT(M279,4)</f>
        <v>6204</v>
      </c>
      <c r="B279" s="84" t="str">
        <f t="shared" si="4"/>
        <v>ПЛАТЬЕ Без товарного знака жен. Артикул 10203 цвет СИНИЙ р. 58</v>
      </c>
      <c r="C279" s="69" t="s">
        <v>1690</v>
      </c>
      <c r="D279" s="69" t="s">
        <v>55</v>
      </c>
      <c r="E279" s="85">
        <v>10203</v>
      </c>
      <c r="F279" s="69" t="s">
        <v>1691</v>
      </c>
      <c r="G279" s="72" t="s">
        <v>279</v>
      </c>
      <c r="H279" s="69" t="s">
        <v>1692</v>
      </c>
      <c r="I279" s="69" t="s">
        <v>59</v>
      </c>
      <c r="J279" s="86">
        <v>58</v>
      </c>
      <c r="K279" s="87" t="s">
        <v>1693</v>
      </c>
      <c r="L279" s="87" t="s">
        <v>1693</v>
      </c>
      <c r="M279" s="73">
        <v>6204420000</v>
      </c>
      <c r="N279" s="7"/>
      <c r="O279" s="88" t="s">
        <v>94</v>
      </c>
      <c r="P279">
        <v>1</v>
      </c>
    </row>
    <row r="280" spans="1:16" customFormat="1" ht="15">
      <c r="A280" s="84" t="str">
        <f>LEFT(M280,4)</f>
        <v>6204</v>
      </c>
      <c r="B280" s="84" t="str">
        <f t="shared" si="4"/>
        <v>ПЛАТЬЕ Без товарного знака жен. Артикул 10203 цвет СИНИЙ р. 62</v>
      </c>
      <c r="C280" s="69" t="s">
        <v>1690</v>
      </c>
      <c r="D280" s="69" t="s">
        <v>55</v>
      </c>
      <c r="E280" s="85">
        <v>10203</v>
      </c>
      <c r="F280" s="69" t="s">
        <v>1691</v>
      </c>
      <c r="G280" s="72" t="s">
        <v>279</v>
      </c>
      <c r="H280" s="69" t="s">
        <v>1692</v>
      </c>
      <c r="I280" s="69" t="s">
        <v>59</v>
      </c>
      <c r="J280" s="86">
        <v>62</v>
      </c>
      <c r="K280" s="87" t="s">
        <v>1693</v>
      </c>
      <c r="L280" s="87" t="s">
        <v>1693</v>
      </c>
      <c r="M280" s="73">
        <v>6204420000</v>
      </c>
      <c r="N280" s="7"/>
      <c r="O280" s="88" t="s">
        <v>94</v>
      </c>
      <c r="P280">
        <v>1</v>
      </c>
    </row>
    <row r="281" spans="1:16" customFormat="1" ht="15">
      <c r="A281" s="84" t="str">
        <f>LEFT(M281,4)</f>
        <v>6204</v>
      </c>
      <c r="B281" s="84" t="str">
        <f t="shared" si="4"/>
        <v>ПЛАТЬЕ Без товарного знака жен. Артикул 5734 цвет ТЕМНО-СИНИЙ р. 54</v>
      </c>
      <c r="C281" s="69" t="s">
        <v>1690</v>
      </c>
      <c r="D281" s="69" t="s">
        <v>55</v>
      </c>
      <c r="E281" s="85">
        <v>5734</v>
      </c>
      <c r="F281" s="69" t="s">
        <v>1691</v>
      </c>
      <c r="G281" s="72" t="s">
        <v>309</v>
      </c>
      <c r="H281" s="69" t="s">
        <v>1692</v>
      </c>
      <c r="I281" s="69" t="s">
        <v>59</v>
      </c>
      <c r="J281" s="86">
        <v>54</v>
      </c>
      <c r="K281" s="87" t="s">
        <v>1755</v>
      </c>
      <c r="L281" s="87" t="s">
        <v>1755</v>
      </c>
      <c r="M281" s="73">
        <v>6204420000</v>
      </c>
      <c r="N281" s="7"/>
      <c r="O281" s="88" t="s">
        <v>94</v>
      </c>
      <c r="P281">
        <v>1</v>
      </c>
    </row>
    <row r="282" spans="1:16" customFormat="1" ht="15">
      <c r="A282" s="84" t="str">
        <f>LEFT(M282,4)</f>
        <v>6204</v>
      </c>
      <c r="B282" s="84" t="str">
        <f t="shared" si="4"/>
        <v>ПЛАТЬЕ Без товарного знака жен. Артикул 5734 цвет ТЕМНО-СИНИЙ р. 56</v>
      </c>
      <c r="C282" s="69" t="s">
        <v>1690</v>
      </c>
      <c r="D282" s="69" t="s">
        <v>55</v>
      </c>
      <c r="E282" s="85">
        <v>5734</v>
      </c>
      <c r="F282" s="69" t="s">
        <v>1691</v>
      </c>
      <c r="G282" s="72" t="s">
        <v>309</v>
      </c>
      <c r="H282" s="69" t="s">
        <v>1692</v>
      </c>
      <c r="I282" s="69" t="s">
        <v>59</v>
      </c>
      <c r="J282" s="86">
        <v>56</v>
      </c>
      <c r="K282" s="87" t="s">
        <v>1755</v>
      </c>
      <c r="L282" s="87" t="s">
        <v>1755</v>
      </c>
      <c r="M282" s="73">
        <v>6204420000</v>
      </c>
      <c r="N282" s="7"/>
      <c r="O282" s="88" t="s">
        <v>94</v>
      </c>
      <c r="P282">
        <v>1</v>
      </c>
    </row>
    <row r="283" spans="1:16" customFormat="1" ht="15">
      <c r="A283" s="84" t="str">
        <f>LEFT(M283,4)</f>
        <v>6204</v>
      </c>
      <c r="B283" s="84" t="str">
        <f t="shared" si="4"/>
        <v>ПЛАТЬЕ Без товарного знака жен. Артикул 5734 цвет ТЕМНО-СИНИЙ р. 58</v>
      </c>
      <c r="C283" s="69" t="s">
        <v>1690</v>
      </c>
      <c r="D283" s="69" t="s">
        <v>55</v>
      </c>
      <c r="E283" s="85">
        <v>5734</v>
      </c>
      <c r="F283" s="69" t="s">
        <v>1691</v>
      </c>
      <c r="G283" s="72" t="s">
        <v>309</v>
      </c>
      <c r="H283" s="69" t="s">
        <v>1692</v>
      </c>
      <c r="I283" s="69" t="s">
        <v>59</v>
      </c>
      <c r="J283" s="86">
        <v>58</v>
      </c>
      <c r="K283" s="87" t="s">
        <v>1755</v>
      </c>
      <c r="L283" s="87" t="s">
        <v>1755</v>
      </c>
      <c r="M283" s="73">
        <v>6204420000</v>
      </c>
      <c r="N283" s="7"/>
      <c r="O283" s="88" t="s">
        <v>94</v>
      </c>
      <c r="P283">
        <v>1</v>
      </c>
    </row>
    <row r="284" spans="1:16" customFormat="1" ht="15">
      <c r="A284" s="84" t="str">
        <f>LEFT(M284,4)</f>
        <v>6204</v>
      </c>
      <c r="B284" s="84" t="str">
        <f t="shared" si="4"/>
        <v>ПЛАТЬЕ Без товарного знака жен. Артикул 7777 цвет РАЗНОЦВЕТНЫЙ р. 60</v>
      </c>
      <c r="C284" s="69" t="s">
        <v>1690</v>
      </c>
      <c r="D284" s="69" t="s">
        <v>55</v>
      </c>
      <c r="E284" s="85">
        <v>7777</v>
      </c>
      <c r="F284" s="69" t="s">
        <v>1691</v>
      </c>
      <c r="G284" s="72" t="s">
        <v>229</v>
      </c>
      <c r="H284" s="69" t="s">
        <v>1692</v>
      </c>
      <c r="I284" s="69" t="s">
        <v>59</v>
      </c>
      <c r="J284" s="86">
        <v>60</v>
      </c>
      <c r="K284" s="87" t="s">
        <v>1693</v>
      </c>
      <c r="L284" s="87" t="s">
        <v>1693</v>
      </c>
      <c r="M284" s="73">
        <v>6204430000</v>
      </c>
      <c r="N284" s="7"/>
      <c r="O284" s="88" t="s">
        <v>94</v>
      </c>
      <c r="P284">
        <v>1</v>
      </c>
    </row>
    <row r="285" spans="1:16" customFormat="1" ht="15">
      <c r="A285" s="84" t="str">
        <f>LEFT(M285,4)</f>
        <v>6204</v>
      </c>
      <c r="B285" s="84" t="str">
        <f t="shared" si="4"/>
        <v>ПЛАТЬЕ Без товарного знака жен. Артикул 725 цвет СИНИЙ р. 58</v>
      </c>
      <c r="C285" s="69" t="s">
        <v>1690</v>
      </c>
      <c r="D285" s="69" t="s">
        <v>55</v>
      </c>
      <c r="E285" s="85">
        <v>725</v>
      </c>
      <c r="F285" s="69" t="s">
        <v>1691</v>
      </c>
      <c r="G285" s="72" t="s">
        <v>279</v>
      </c>
      <c r="H285" s="69" t="s">
        <v>1692</v>
      </c>
      <c r="I285" s="69" t="s">
        <v>59</v>
      </c>
      <c r="J285" s="86">
        <v>58</v>
      </c>
      <c r="K285" s="87" t="s">
        <v>1756</v>
      </c>
      <c r="L285" s="87" t="s">
        <v>1756</v>
      </c>
      <c r="M285" s="73">
        <v>6204430000</v>
      </c>
      <c r="N285" s="7"/>
      <c r="O285" s="88" t="s">
        <v>94</v>
      </c>
      <c r="P285">
        <v>1</v>
      </c>
    </row>
    <row r="286" spans="1:16" customFormat="1" ht="15">
      <c r="A286" s="84" t="str">
        <f>LEFT(M286,4)</f>
        <v>6204</v>
      </c>
      <c r="B286" s="84" t="str">
        <f t="shared" si="4"/>
        <v>ПЛАТЬЕ Без товарного знака жен. Артикул 725 цвет ТЕМНО-СИНИЙ р. 58</v>
      </c>
      <c r="C286" s="69" t="s">
        <v>1690</v>
      </c>
      <c r="D286" s="69" t="s">
        <v>55</v>
      </c>
      <c r="E286" s="85">
        <v>725</v>
      </c>
      <c r="F286" s="69" t="s">
        <v>1691</v>
      </c>
      <c r="G286" s="72" t="s">
        <v>309</v>
      </c>
      <c r="H286" s="69" t="s">
        <v>1692</v>
      </c>
      <c r="I286" s="69" t="s">
        <v>59</v>
      </c>
      <c r="J286" s="86">
        <v>58</v>
      </c>
      <c r="K286" s="87" t="s">
        <v>1756</v>
      </c>
      <c r="L286" s="87" t="s">
        <v>1756</v>
      </c>
      <c r="M286" s="73">
        <v>6204430000</v>
      </c>
      <c r="N286" s="7"/>
      <c r="O286" s="88" t="s">
        <v>94</v>
      </c>
      <c r="P286">
        <v>1</v>
      </c>
    </row>
    <row r="287" spans="1:16" customFormat="1" ht="15">
      <c r="A287" s="84" t="str">
        <f>LEFT(M287,4)</f>
        <v>6204</v>
      </c>
      <c r="B287" s="84" t="str">
        <f t="shared" si="4"/>
        <v>ПЛАТЬЕ Без товарного знака жен. Артикул 725 цвет ТЕМНО-СИНИЙ р. 60</v>
      </c>
      <c r="C287" s="69" t="s">
        <v>1690</v>
      </c>
      <c r="D287" s="69" t="s">
        <v>55</v>
      </c>
      <c r="E287" s="85">
        <v>725</v>
      </c>
      <c r="F287" s="69" t="s">
        <v>1691</v>
      </c>
      <c r="G287" s="72" t="s">
        <v>309</v>
      </c>
      <c r="H287" s="69" t="s">
        <v>1692</v>
      </c>
      <c r="I287" s="69" t="s">
        <v>59</v>
      </c>
      <c r="J287" s="86">
        <v>60</v>
      </c>
      <c r="K287" s="87" t="s">
        <v>1756</v>
      </c>
      <c r="L287" s="87" t="s">
        <v>1756</v>
      </c>
      <c r="M287" s="73">
        <v>6204430000</v>
      </c>
      <c r="N287" s="7"/>
      <c r="O287" s="88" t="s">
        <v>94</v>
      </c>
      <c r="P287">
        <v>1</v>
      </c>
    </row>
    <row r="288" spans="1:16" customFormat="1" ht="15">
      <c r="A288" s="84" t="str">
        <f>LEFT(M288,4)</f>
        <v>6204</v>
      </c>
      <c r="B288" s="84" t="str">
        <f t="shared" si="4"/>
        <v>ПЛАТЬЕ Без товарного знака жен. Артикул 725 цвет ТЕМНО-СИНИЙ р. 62</v>
      </c>
      <c r="C288" s="69" t="s">
        <v>1690</v>
      </c>
      <c r="D288" s="69" t="s">
        <v>55</v>
      </c>
      <c r="E288" s="85">
        <v>725</v>
      </c>
      <c r="F288" s="69" t="s">
        <v>1691</v>
      </c>
      <c r="G288" s="72" t="s">
        <v>309</v>
      </c>
      <c r="H288" s="69" t="s">
        <v>1692</v>
      </c>
      <c r="I288" s="69" t="s">
        <v>59</v>
      </c>
      <c r="J288" s="86">
        <v>62</v>
      </c>
      <c r="K288" s="87" t="s">
        <v>1756</v>
      </c>
      <c r="L288" s="87" t="s">
        <v>1756</v>
      </c>
      <c r="M288" s="73">
        <v>6204430000</v>
      </c>
      <c r="N288" s="7"/>
      <c r="O288" s="88" t="s">
        <v>94</v>
      </c>
      <c r="P288">
        <v>1</v>
      </c>
    </row>
    <row r="289" spans="1:16" customFormat="1" ht="15">
      <c r="A289" s="84" t="str">
        <f>LEFT(M289,4)</f>
        <v>6204</v>
      </c>
      <c r="B289" s="84" t="str">
        <f t="shared" si="4"/>
        <v>ПЛАТЬЕ Без товарного знака жен. Артикул 725 цвет ТЕМНО-СИНИЙ р. 64</v>
      </c>
      <c r="C289" s="69" t="s">
        <v>1690</v>
      </c>
      <c r="D289" s="69" t="s">
        <v>55</v>
      </c>
      <c r="E289" s="85">
        <v>725</v>
      </c>
      <c r="F289" s="69" t="s">
        <v>1691</v>
      </c>
      <c r="G289" s="72" t="s">
        <v>309</v>
      </c>
      <c r="H289" s="69" t="s">
        <v>1692</v>
      </c>
      <c r="I289" s="69" t="s">
        <v>59</v>
      </c>
      <c r="J289" s="86">
        <v>64</v>
      </c>
      <c r="K289" s="87" t="s">
        <v>1756</v>
      </c>
      <c r="L289" s="87" t="s">
        <v>1756</v>
      </c>
      <c r="M289" s="73">
        <v>6204430000</v>
      </c>
      <c r="N289" s="7"/>
      <c r="O289" s="88" t="s">
        <v>94</v>
      </c>
      <c r="P289">
        <v>1</v>
      </c>
    </row>
    <row r="290" spans="1:16" customFormat="1" ht="15">
      <c r="A290" s="84" t="str">
        <f>LEFT(M290,4)</f>
        <v>6204</v>
      </c>
      <c r="B290" s="84" t="str">
        <f t="shared" si="4"/>
        <v>ПЛАТЬЕ Без товарного знака жен. Артикул 725 цвет изумрудный р. 58</v>
      </c>
      <c r="C290" s="69" t="s">
        <v>1690</v>
      </c>
      <c r="D290" s="69" t="s">
        <v>55</v>
      </c>
      <c r="E290" s="85">
        <v>725</v>
      </c>
      <c r="F290" s="69" t="s">
        <v>1691</v>
      </c>
      <c r="G290" s="72" t="s">
        <v>1698</v>
      </c>
      <c r="H290" s="69" t="s">
        <v>1692</v>
      </c>
      <c r="I290" s="69" t="s">
        <v>59</v>
      </c>
      <c r="J290" s="86">
        <v>58</v>
      </c>
      <c r="K290" s="87" t="s">
        <v>1756</v>
      </c>
      <c r="L290" s="87" t="s">
        <v>1756</v>
      </c>
      <c r="M290" s="73">
        <v>6204430000</v>
      </c>
      <c r="N290" s="7"/>
      <c r="O290" s="88" t="s">
        <v>94</v>
      </c>
      <c r="P290">
        <v>1</v>
      </c>
    </row>
    <row r="291" spans="1:16" customFormat="1" ht="15">
      <c r="A291" s="84" t="str">
        <f>LEFT(M291,4)</f>
        <v>6204</v>
      </c>
      <c r="B291" s="84" t="str">
        <f t="shared" si="4"/>
        <v>ПЛАТЬЕ Без товарного знака жен. Артикул 725 цвет изумрудный р. 60</v>
      </c>
      <c r="C291" s="69" t="s">
        <v>1690</v>
      </c>
      <c r="D291" s="69" t="s">
        <v>55</v>
      </c>
      <c r="E291" s="85">
        <v>725</v>
      </c>
      <c r="F291" s="69" t="s">
        <v>1691</v>
      </c>
      <c r="G291" s="72" t="s">
        <v>1698</v>
      </c>
      <c r="H291" s="69" t="s">
        <v>1692</v>
      </c>
      <c r="I291" s="69" t="s">
        <v>59</v>
      </c>
      <c r="J291" s="86">
        <v>60</v>
      </c>
      <c r="K291" s="87" t="s">
        <v>1756</v>
      </c>
      <c r="L291" s="87" t="s">
        <v>1756</v>
      </c>
      <c r="M291" s="73">
        <v>6204430000</v>
      </c>
      <c r="N291" s="7"/>
      <c r="O291" s="88" t="s">
        <v>94</v>
      </c>
      <c r="P291">
        <v>1</v>
      </c>
    </row>
    <row r="292" spans="1:16" customFormat="1" ht="15">
      <c r="A292" s="84" t="str">
        <f>LEFT(M292,4)</f>
        <v>6204</v>
      </c>
      <c r="B292" s="84" t="str">
        <f t="shared" si="4"/>
        <v>ПЛАТЬЕ Без товарного знака жен. Артикул 725 цвет изумрудный р. 62</v>
      </c>
      <c r="C292" s="69" t="s">
        <v>1690</v>
      </c>
      <c r="D292" s="69" t="s">
        <v>55</v>
      </c>
      <c r="E292" s="85">
        <v>725</v>
      </c>
      <c r="F292" s="69" t="s">
        <v>1691</v>
      </c>
      <c r="G292" s="72" t="s">
        <v>1698</v>
      </c>
      <c r="H292" s="69" t="s">
        <v>1692</v>
      </c>
      <c r="I292" s="69" t="s">
        <v>59</v>
      </c>
      <c r="J292" s="86">
        <v>62</v>
      </c>
      <c r="K292" s="87" t="s">
        <v>1756</v>
      </c>
      <c r="L292" s="87" t="s">
        <v>1756</v>
      </c>
      <c r="M292" s="73">
        <v>6204430000</v>
      </c>
      <c r="N292" s="7"/>
      <c r="O292" s="88" t="s">
        <v>94</v>
      </c>
      <c r="P292">
        <v>1</v>
      </c>
    </row>
    <row r="293" spans="1:16" customFormat="1" ht="15">
      <c r="A293" s="84" t="str">
        <f>LEFT(M293,4)</f>
        <v>6204</v>
      </c>
      <c r="B293" s="84" t="str">
        <f t="shared" si="4"/>
        <v>ПЛАТЬЕ Без товарного знака жен. Артикул 725 цвет изумрудный р. 64</v>
      </c>
      <c r="C293" s="69" t="s">
        <v>1690</v>
      </c>
      <c r="D293" s="69" t="s">
        <v>55</v>
      </c>
      <c r="E293" s="85">
        <v>725</v>
      </c>
      <c r="F293" s="69" t="s">
        <v>1691</v>
      </c>
      <c r="G293" s="72" t="s">
        <v>1698</v>
      </c>
      <c r="H293" s="69" t="s">
        <v>1692</v>
      </c>
      <c r="I293" s="69" t="s">
        <v>59</v>
      </c>
      <c r="J293" s="86">
        <v>64</v>
      </c>
      <c r="K293" s="87" t="s">
        <v>1756</v>
      </c>
      <c r="L293" s="87" t="s">
        <v>1756</v>
      </c>
      <c r="M293" s="73">
        <v>6204430000</v>
      </c>
      <c r="N293" s="7"/>
      <c r="O293" s="88" t="s">
        <v>94</v>
      </c>
      <c r="P293">
        <v>1</v>
      </c>
    </row>
    <row r="294" spans="1:16" customFormat="1" ht="15">
      <c r="A294" s="84" t="str">
        <f>LEFT(M294,4)</f>
        <v>6204</v>
      </c>
      <c r="B294" s="84" t="str">
        <f t="shared" si="4"/>
        <v>ПЛАТЬЕ Без товарного знака жен. Артикул 2045 цвет ТЕМНО-СИНИЙ р. 58</v>
      </c>
      <c r="C294" s="69" t="s">
        <v>1690</v>
      </c>
      <c r="D294" s="69" t="s">
        <v>55</v>
      </c>
      <c r="E294" s="85">
        <v>2045</v>
      </c>
      <c r="F294" s="69" t="s">
        <v>1691</v>
      </c>
      <c r="G294" s="72" t="s">
        <v>309</v>
      </c>
      <c r="H294" s="69" t="s">
        <v>1692</v>
      </c>
      <c r="I294" s="69" t="s">
        <v>59</v>
      </c>
      <c r="J294" s="86">
        <v>58</v>
      </c>
      <c r="K294" s="87" t="s">
        <v>1756</v>
      </c>
      <c r="L294" s="87" t="s">
        <v>1756</v>
      </c>
      <c r="M294" s="73">
        <v>6204430000</v>
      </c>
      <c r="N294" s="7"/>
      <c r="O294" s="88" t="s">
        <v>94</v>
      </c>
      <c r="P294">
        <v>1</v>
      </c>
    </row>
    <row r="295" spans="1:16" customFormat="1" ht="15">
      <c r="A295" s="84" t="str">
        <f>LEFT(M295,4)</f>
        <v>6204</v>
      </c>
      <c r="B295" s="84" t="str">
        <f t="shared" si="4"/>
        <v>ПЛАТЬЕ Без товарного знака жен. Артикул 2045 цвет ТЕМНО-СИНИЙ р. 60</v>
      </c>
      <c r="C295" s="69" t="s">
        <v>1690</v>
      </c>
      <c r="D295" s="69" t="s">
        <v>55</v>
      </c>
      <c r="E295" s="85">
        <v>2045</v>
      </c>
      <c r="F295" s="69" t="s">
        <v>1691</v>
      </c>
      <c r="G295" s="72" t="s">
        <v>309</v>
      </c>
      <c r="H295" s="69" t="s">
        <v>1692</v>
      </c>
      <c r="I295" s="69" t="s">
        <v>59</v>
      </c>
      <c r="J295" s="86">
        <v>60</v>
      </c>
      <c r="K295" s="87" t="s">
        <v>1756</v>
      </c>
      <c r="L295" s="87" t="s">
        <v>1756</v>
      </c>
      <c r="M295" s="73">
        <v>6204430000</v>
      </c>
      <c r="N295" s="7"/>
      <c r="O295" s="88" t="s">
        <v>94</v>
      </c>
      <c r="P295">
        <v>1</v>
      </c>
    </row>
    <row r="296" spans="1:16" customFormat="1" ht="15">
      <c r="A296" s="84" t="str">
        <f>LEFT(M296,4)</f>
        <v>6204</v>
      </c>
      <c r="B296" s="84" t="str">
        <f t="shared" si="4"/>
        <v>ПЛАТЬЕ Без товарного знака жен. Артикул 2045 цвет ТЕМНО-СИНИЙ р. 62</v>
      </c>
      <c r="C296" s="69" t="s">
        <v>1690</v>
      </c>
      <c r="D296" s="69" t="s">
        <v>55</v>
      </c>
      <c r="E296" s="85">
        <v>2045</v>
      </c>
      <c r="F296" s="69" t="s">
        <v>1691</v>
      </c>
      <c r="G296" s="72" t="s">
        <v>309</v>
      </c>
      <c r="H296" s="69" t="s">
        <v>1692</v>
      </c>
      <c r="I296" s="69" t="s">
        <v>59</v>
      </c>
      <c r="J296" s="86">
        <v>62</v>
      </c>
      <c r="K296" s="87" t="s">
        <v>1756</v>
      </c>
      <c r="L296" s="87" t="s">
        <v>1756</v>
      </c>
      <c r="M296" s="73">
        <v>6204430000</v>
      </c>
      <c r="N296" s="7"/>
      <c r="O296" s="88" t="s">
        <v>94</v>
      </c>
      <c r="P296">
        <v>1</v>
      </c>
    </row>
    <row r="297" spans="1:16" customFormat="1" ht="15">
      <c r="A297" s="84" t="str">
        <f>LEFT(M297,4)</f>
        <v>6204</v>
      </c>
      <c r="B297" s="84" t="str">
        <f t="shared" si="4"/>
        <v>ПЛАТЬЕ Без товарного знака жен. Артикул 2045 цвет ТЕМНО-СИНИЙ р. 64</v>
      </c>
      <c r="C297" s="69" t="s">
        <v>1690</v>
      </c>
      <c r="D297" s="69" t="s">
        <v>55</v>
      </c>
      <c r="E297" s="85">
        <v>2045</v>
      </c>
      <c r="F297" s="69" t="s">
        <v>1691</v>
      </c>
      <c r="G297" s="72" t="s">
        <v>309</v>
      </c>
      <c r="H297" s="69" t="s">
        <v>1692</v>
      </c>
      <c r="I297" s="69" t="s">
        <v>59</v>
      </c>
      <c r="J297" s="86">
        <v>64</v>
      </c>
      <c r="K297" s="87" t="s">
        <v>1756</v>
      </c>
      <c r="L297" s="87" t="s">
        <v>1756</v>
      </c>
      <c r="M297" s="73">
        <v>6204430000</v>
      </c>
      <c r="N297" s="7"/>
      <c r="O297" s="88" t="s">
        <v>94</v>
      </c>
      <c r="P297">
        <v>1</v>
      </c>
    </row>
    <row r="298" spans="1:16" customFormat="1" ht="15">
      <c r="A298" s="84" t="str">
        <f>LEFT(M298,4)</f>
        <v>6204</v>
      </c>
      <c r="B298" s="84" t="str">
        <f t="shared" si="4"/>
        <v>ПЛАТЬЕ Без товарного знака жен. Артикул 130 цвет ФИОЛЕТОВЫЙ р. 60</v>
      </c>
      <c r="C298" s="69" t="s">
        <v>1690</v>
      </c>
      <c r="D298" s="69" t="s">
        <v>55</v>
      </c>
      <c r="E298" s="85">
        <v>130</v>
      </c>
      <c r="F298" s="69" t="s">
        <v>1691</v>
      </c>
      <c r="G298" s="72" t="s">
        <v>318</v>
      </c>
      <c r="H298" s="69" t="s">
        <v>1692</v>
      </c>
      <c r="I298" s="69" t="s">
        <v>59</v>
      </c>
      <c r="J298" s="86">
        <v>60</v>
      </c>
      <c r="K298" s="87" t="s">
        <v>1756</v>
      </c>
      <c r="L298" s="87" t="s">
        <v>1756</v>
      </c>
      <c r="M298" s="73">
        <v>6204430000</v>
      </c>
      <c r="N298" s="7"/>
      <c r="O298" s="88" t="s">
        <v>94</v>
      </c>
      <c r="P298">
        <v>1</v>
      </c>
    </row>
    <row r="299" spans="1:16" customFormat="1" ht="15">
      <c r="A299" s="84" t="str">
        <f>LEFT(M299,4)</f>
        <v>6204</v>
      </c>
      <c r="B299" s="84" t="str">
        <f t="shared" ref="B299:B362" si="5">CONCATENATE(F299," ", C299," ",H299," ",D299," ", E299, " цвет ", G299, " р. ", J299)</f>
        <v>ПЛАТЬЕ Без товарного знака жен. Артикул 12181 цвет РОЗОВЫЙ р. 60</v>
      </c>
      <c r="C299" s="69" t="s">
        <v>1690</v>
      </c>
      <c r="D299" s="69" t="s">
        <v>55</v>
      </c>
      <c r="E299" s="85">
        <v>12181</v>
      </c>
      <c r="F299" s="69" t="s">
        <v>1691</v>
      </c>
      <c r="G299" s="72" t="s">
        <v>235</v>
      </c>
      <c r="H299" s="69" t="s">
        <v>1692</v>
      </c>
      <c r="I299" s="69" t="s">
        <v>59</v>
      </c>
      <c r="J299" s="86">
        <v>60</v>
      </c>
      <c r="K299" s="87" t="s">
        <v>1706</v>
      </c>
      <c r="L299" s="87" t="s">
        <v>1706</v>
      </c>
      <c r="M299" s="73">
        <v>6204440000</v>
      </c>
      <c r="N299" s="7"/>
      <c r="O299" s="88" t="s">
        <v>1752</v>
      </c>
      <c r="P299">
        <v>1</v>
      </c>
    </row>
    <row r="300" spans="1:16" customFormat="1" ht="15">
      <c r="A300" s="84" t="str">
        <f>LEFT(M300,4)</f>
        <v>6204</v>
      </c>
      <c r="B300" s="84" t="str">
        <f t="shared" si="5"/>
        <v>ПЛАТЬЕ Без товарного знака жен. Артикул 4486 цвет КОРАЛЛОВЫЙ р. 60</v>
      </c>
      <c r="C300" s="69" t="s">
        <v>1690</v>
      </c>
      <c r="D300" s="69" t="s">
        <v>55</v>
      </c>
      <c r="E300" s="85">
        <v>4486</v>
      </c>
      <c r="F300" s="69" t="s">
        <v>1691</v>
      </c>
      <c r="G300" s="72" t="s">
        <v>172</v>
      </c>
      <c r="H300" s="69" t="s">
        <v>1692</v>
      </c>
      <c r="I300" s="69" t="s">
        <v>59</v>
      </c>
      <c r="J300" s="86">
        <v>60</v>
      </c>
      <c r="K300" s="87" t="s">
        <v>1757</v>
      </c>
      <c r="L300" s="87" t="s">
        <v>1757</v>
      </c>
      <c r="M300" s="73">
        <v>6204430000</v>
      </c>
      <c r="N300" s="7"/>
      <c r="O300" s="86" t="s">
        <v>59</v>
      </c>
      <c r="P300">
        <v>1</v>
      </c>
    </row>
    <row r="301" spans="1:16" customFormat="1" ht="15">
      <c r="A301" s="84" t="str">
        <f>LEFT(M301,4)</f>
        <v>6204</v>
      </c>
      <c r="B301" s="84" t="str">
        <f t="shared" si="5"/>
        <v>ПЛАТЬЕ Без товарного знака жен. Артикул 7218 цвет РАЗНОЦВЕТНЫЙ р. 56</v>
      </c>
      <c r="C301" s="69" t="s">
        <v>1690</v>
      </c>
      <c r="D301" s="69" t="s">
        <v>55</v>
      </c>
      <c r="E301" s="85">
        <v>7218</v>
      </c>
      <c r="F301" s="69" t="s">
        <v>1691</v>
      </c>
      <c r="G301" s="72" t="s">
        <v>229</v>
      </c>
      <c r="H301" s="69" t="s">
        <v>1692</v>
      </c>
      <c r="I301" s="69" t="s">
        <v>59</v>
      </c>
      <c r="J301" s="86">
        <v>56</v>
      </c>
      <c r="K301" s="87" t="s">
        <v>1693</v>
      </c>
      <c r="L301" s="87" t="s">
        <v>1693</v>
      </c>
      <c r="M301" s="73">
        <v>6204430000</v>
      </c>
      <c r="N301" s="7"/>
      <c r="O301" s="88" t="s">
        <v>94</v>
      </c>
      <c r="P301">
        <v>1</v>
      </c>
    </row>
    <row r="302" spans="1:16" customFormat="1" ht="15">
      <c r="A302" s="84" t="str">
        <f>LEFT(M302,4)</f>
        <v>6204</v>
      </c>
      <c r="B302" s="84" t="str">
        <f t="shared" si="5"/>
        <v>ПЛАТЬЕ Без товарного знака жен. Артикул 7218 цвет РАЗНОЦВЕТНЫЙ р. 58</v>
      </c>
      <c r="C302" s="69" t="s">
        <v>1690</v>
      </c>
      <c r="D302" s="69" t="s">
        <v>55</v>
      </c>
      <c r="E302" s="85">
        <v>7218</v>
      </c>
      <c r="F302" s="69" t="s">
        <v>1691</v>
      </c>
      <c r="G302" s="72" t="s">
        <v>229</v>
      </c>
      <c r="H302" s="69" t="s">
        <v>1692</v>
      </c>
      <c r="I302" s="69" t="s">
        <v>59</v>
      </c>
      <c r="J302" s="86">
        <v>58</v>
      </c>
      <c r="K302" s="87" t="s">
        <v>1693</v>
      </c>
      <c r="L302" s="87" t="s">
        <v>1693</v>
      </c>
      <c r="M302" s="73">
        <v>6204430000</v>
      </c>
      <c r="N302" s="7"/>
      <c r="O302" s="88" t="s">
        <v>94</v>
      </c>
      <c r="P302">
        <v>1</v>
      </c>
    </row>
    <row r="303" spans="1:16" customFormat="1" ht="15">
      <c r="A303" s="84" t="str">
        <f>LEFT(M303,4)</f>
        <v>6204</v>
      </c>
      <c r="B303" s="84" t="str">
        <f t="shared" si="5"/>
        <v>ПЛАТЬЕ Без товарного знака жен. Артикул 7218 цвет РАЗНОЦВЕТНЫЙ р. 60</v>
      </c>
      <c r="C303" s="69" t="s">
        <v>1690</v>
      </c>
      <c r="D303" s="69" t="s">
        <v>55</v>
      </c>
      <c r="E303" s="85">
        <v>7218</v>
      </c>
      <c r="F303" s="69" t="s">
        <v>1691</v>
      </c>
      <c r="G303" s="72" t="s">
        <v>229</v>
      </c>
      <c r="H303" s="69" t="s">
        <v>1692</v>
      </c>
      <c r="I303" s="69" t="s">
        <v>59</v>
      </c>
      <c r="J303" s="86">
        <v>60</v>
      </c>
      <c r="K303" s="87" t="s">
        <v>1693</v>
      </c>
      <c r="L303" s="87" t="s">
        <v>1693</v>
      </c>
      <c r="M303" s="73">
        <v>6204430000</v>
      </c>
      <c r="N303" s="7"/>
      <c r="O303" s="88" t="s">
        <v>94</v>
      </c>
      <c r="P303">
        <v>1</v>
      </c>
    </row>
    <row r="304" spans="1:16" customFormat="1" ht="15">
      <c r="A304" s="84" t="str">
        <f>LEFT(M304,4)</f>
        <v>6204</v>
      </c>
      <c r="B304" s="84" t="str">
        <f t="shared" si="5"/>
        <v>ПЛАТЬЕ Без товарного знака жен. Артикул 7218 цвет РАЗНОЦВЕТНЫЙ р. 62</v>
      </c>
      <c r="C304" s="69" t="s">
        <v>1690</v>
      </c>
      <c r="D304" s="69" t="s">
        <v>55</v>
      </c>
      <c r="E304" s="85">
        <v>7218</v>
      </c>
      <c r="F304" s="69" t="s">
        <v>1691</v>
      </c>
      <c r="G304" s="72" t="s">
        <v>229</v>
      </c>
      <c r="H304" s="69" t="s">
        <v>1692</v>
      </c>
      <c r="I304" s="69" t="s">
        <v>59</v>
      </c>
      <c r="J304" s="86">
        <v>62</v>
      </c>
      <c r="K304" s="87" t="s">
        <v>1693</v>
      </c>
      <c r="L304" s="87" t="s">
        <v>1693</v>
      </c>
      <c r="M304" s="73">
        <v>6204430000</v>
      </c>
      <c r="N304" s="7"/>
      <c r="O304" s="88" t="s">
        <v>94</v>
      </c>
      <c r="P304">
        <v>1</v>
      </c>
    </row>
    <row r="305" spans="1:16" customFormat="1" ht="15">
      <c r="A305" s="84" t="str">
        <f>LEFT(M305,4)</f>
        <v>6204</v>
      </c>
      <c r="B305" s="84" t="str">
        <f t="shared" si="5"/>
        <v>ПЛАТЬЕ Без товарного знака жен. Артикул 7331 цвет РАЗНОЦВЕТНЫЙ р. 56</v>
      </c>
      <c r="C305" s="69" t="s">
        <v>1690</v>
      </c>
      <c r="D305" s="69" t="s">
        <v>55</v>
      </c>
      <c r="E305" s="85">
        <v>7331</v>
      </c>
      <c r="F305" s="69" t="s">
        <v>1691</v>
      </c>
      <c r="G305" s="72" t="s">
        <v>229</v>
      </c>
      <c r="H305" s="69" t="s">
        <v>1692</v>
      </c>
      <c r="I305" s="69" t="s">
        <v>59</v>
      </c>
      <c r="J305" s="86">
        <v>56</v>
      </c>
      <c r="K305" s="87" t="s">
        <v>1693</v>
      </c>
      <c r="L305" s="87" t="s">
        <v>1693</v>
      </c>
      <c r="M305" s="73">
        <v>6204430000</v>
      </c>
      <c r="N305" s="7"/>
      <c r="O305" s="88" t="s">
        <v>94</v>
      </c>
      <c r="P305">
        <v>1</v>
      </c>
    </row>
    <row r="306" spans="1:16" customFormat="1" ht="15">
      <c r="A306" s="84" t="str">
        <f>LEFT(M306,4)</f>
        <v>6204</v>
      </c>
      <c r="B306" s="84" t="str">
        <f t="shared" si="5"/>
        <v>ПЛАТЬЕ Без товарного знака жен. Артикул 7331 цвет РАЗНОЦВЕТНЫЙ р. 58</v>
      </c>
      <c r="C306" s="69" t="s">
        <v>1690</v>
      </c>
      <c r="D306" s="69" t="s">
        <v>55</v>
      </c>
      <c r="E306" s="85">
        <v>7331</v>
      </c>
      <c r="F306" s="69" t="s">
        <v>1691</v>
      </c>
      <c r="G306" s="72" t="s">
        <v>229</v>
      </c>
      <c r="H306" s="69" t="s">
        <v>1692</v>
      </c>
      <c r="I306" s="69" t="s">
        <v>59</v>
      </c>
      <c r="J306" s="86">
        <v>58</v>
      </c>
      <c r="K306" s="87" t="s">
        <v>1693</v>
      </c>
      <c r="L306" s="87" t="s">
        <v>1693</v>
      </c>
      <c r="M306" s="73">
        <v>6204430000</v>
      </c>
      <c r="N306" s="7"/>
      <c r="O306" s="88" t="s">
        <v>94</v>
      </c>
      <c r="P306">
        <v>1</v>
      </c>
    </row>
    <row r="307" spans="1:16" customFormat="1" ht="15">
      <c r="A307" s="84" t="str">
        <f>LEFT(M307,4)</f>
        <v>6204</v>
      </c>
      <c r="B307" s="84" t="str">
        <f t="shared" si="5"/>
        <v>ПЛАТЬЕ Без товарного знака жен. Артикул 7331 цвет РАЗНОЦВЕТНЫЙ р. 60</v>
      </c>
      <c r="C307" s="69" t="s">
        <v>1690</v>
      </c>
      <c r="D307" s="69" t="s">
        <v>55</v>
      </c>
      <c r="E307" s="85">
        <v>7331</v>
      </c>
      <c r="F307" s="69" t="s">
        <v>1691</v>
      </c>
      <c r="G307" s="72" t="s">
        <v>229</v>
      </c>
      <c r="H307" s="69" t="s">
        <v>1692</v>
      </c>
      <c r="I307" s="69" t="s">
        <v>59</v>
      </c>
      <c r="J307" s="86">
        <v>60</v>
      </c>
      <c r="K307" s="87" t="s">
        <v>1693</v>
      </c>
      <c r="L307" s="87" t="s">
        <v>1693</v>
      </c>
      <c r="M307" s="73">
        <v>6204430000</v>
      </c>
      <c r="N307" s="7"/>
      <c r="O307" s="88" t="s">
        <v>94</v>
      </c>
      <c r="P307">
        <v>1</v>
      </c>
    </row>
    <row r="308" spans="1:16" customFormat="1" ht="15">
      <c r="A308" s="84" t="str">
        <f>LEFT(M308,4)</f>
        <v>6204</v>
      </c>
      <c r="B308" s="84" t="str">
        <f t="shared" si="5"/>
        <v>ПЛАТЬЕ Без товарного знака жен. Артикул 7331 цвет РАЗНОЦВЕТНЫЙ р. 62</v>
      </c>
      <c r="C308" s="69" t="s">
        <v>1690</v>
      </c>
      <c r="D308" s="69" t="s">
        <v>55</v>
      </c>
      <c r="E308" s="85">
        <v>7331</v>
      </c>
      <c r="F308" s="69" t="s">
        <v>1691</v>
      </c>
      <c r="G308" s="72" t="s">
        <v>229</v>
      </c>
      <c r="H308" s="69" t="s">
        <v>1692</v>
      </c>
      <c r="I308" s="69" t="s">
        <v>59</v>
      </c>
      <c r="J308" s="86">
        <v>62</v>
      </c>
      <c r="K308" s="87" t="s">
        <v>1693</v>
      </c>
      <c r="L308" s="87" t="s">
        <v>1693</v>
      </c>
      <c r="M308" s="73">
        <v>6204430000</v>
      </c>
      <c r="N308" s="7"/>
      <c r="O308" s="88" t="s">
        <v>94</v>
      </c>
      <c r="P308">
        <v>1</v>
      </c>
    </row>
    <row r="309" spans="1:16" customFormat="1" ht="15">
      <c r="A309" s="84" t="str">
        <f>LEFT(M309,4)</f>
        <v>6204</v>
      </c>
      <c r="B309" s="84" t="str">
        <f t="shared" si="5"/>
        <v>ПЛАТЬЕ Без товарного знака жен. Артикул 7228 цвет РОЗОВЫЙ р. 62</v>
      </c>
      <c r="C309" s="69" t="s">
        <v>1690</v>
      </c>
      <c r="D309" s="69" t="s">
        <v>55</v>
      </c>
      <c r="E309" s="85">
        <v>7228</v>
      </c>
      <c r="F309" s="69" t="s">
        <v>1691</v>
      </c>
      <c r="G309" s="72" t="s">
        <v>235</v>
      </c>
      <c r="H309" s="69" t="s">
        <v>1692</v>
      </c>
      <c r="I309" s="69" t="s">
        <v>59</v>
      </c>
      <c r="J309" s="86">
        <v>62</v>
      </c>
      <c r="K309" s="87" t="s">
        <v>1693</v>
      </c>
      <c r="L309" s="87" t="s">
        <v>1693</v>
      </c>
      <c r="M309" s="73">
        <v>6204430000</v>
      </c>
      <c r="N309" s="7"/>
      <c r="O309" s="88" t="s">
        <v>94</v>
      </c>
      <c r="P309">
        <v>1</v>
      </c>
    </row>
    <row r="310" spans="1:16" customFormat="1" ht="15">
      <c r="A310" s="84" t="str">
        <f>LEFT(M310,4)</f>
        <v>6204</v>
      </c>
      <c r="B310" s="84" t="str">
        <f t="shared" si="5"/>
        <v>ПЛАТЬЕ Без товарного знака жен. Артикул 7228 цвет СИНИЙ р. 64</v>
      </c>
      <c r="C310" s="69" t="s">
        <v>1690</v>
      </c>
      <c r="D310" s="69" t="s">
        <v>55</v>
      </c>
      <c r="E310" s="85">
        <v>7228</v>
      </c>
      <c r="F310" s="69" t="s">
        <v>1691</v>
      </c>
      <c r="G310" s="72" t="s">
        <v>279</v>
      </c>
      <c r="H310" s="69" t="s">
        <v>1692</v>
      </c>
      <c r="I310" s="69" t="s">
        <v>59</v>
      </c>
      <c r="J310" s="86">
        <v>64</v>
      </c>
      <c r="K310" s="87" t="s">
        <v>1693</v>
      </c>
      <c r="L310" s="87" t="s">
        <v>1693</v>
      </c>
      <c r="M310" s="73">
        <v>6204430000</v>
      </c>
      <c r="N310" s="7"/>
      <c r="O310" s="88" t="s">
        <v>94</v>
      </c>
      <c r="P310">
        <v>1</v>
      </c>
    </row>
    <row r="311" spans="1:16" customFormat="1" ht="15">
      <c r="A311" s="84" t="str">
        <f>LEFT(M311,4)</f>
        <v>6204</v>
      </c>
      <c r="B311" s="84" t="str">
        <f t="shared" si="5"/>
        <v>ПЛАТЬЕ Без товарного знака жен. Артикул 5004 цвет СИНИЙ р. 60</v>
      </c>
      <c r="C311" s="69" t="s">
        <v>1690</v>
      </c>
      <c r="D311" s="69" t="s">
        <v>55</v>
      </c>
      <c r="E311" s="85">
        <v>5004</v>
      </c>
      <c r="F311" s="69" t="s">
        <v>1691</v>
      </c>
      <c r="G311" s="72" t="s">
        <v>279</v>
      </c>
      <c r="H311" s="69" t="s">
        <v>1692</v>
      </c>
      <c r="I311" s="69" t="s">
        <v>59</v>
      </c>
      <c r="J311" s="86">
        <v>60</v>
      </c>
      <c r="K311" s="87" t="s">
        <v>1693</v>
      </c>
      <c r="L311" s="87" t="s">
        <v>1693</v>
      </c>
      <c r="M311" s="73">
        <v>6204430000</v>
      </c>
      <c r="N311" s="7"/>
      <c r="O311" s="88" t="s">
        <v>94</v>
      </c>
      <c r="P311">
        <v>1</v>
      </c>
    </row>
    <row r="312" spans="1:16" customFormat="1" ht="15">
      <c r="A312" s="84" t="str">
        <f>LEFT(M312,4)</f>
        <v>6204</v>
      </c>
      <c r="B312" s="84" t="str">
        <f t="shared" si="5"/>
        <v>ПЛАТЬЕ Без товарного знака жен. Артикул 5004 цвет СИНИЙ р. 60</v>
      </c>
      <c r="C312" s="69" t="s">
        <v>1690</v>
      </c>
      <c r="D312" s="69" t="s">
        <v>55</v>
      </c>
      <c r="E312" s="85">
        <v>5004</v>
      </c>
      <c r="F312" s="69" t="s">
        <v>1691</v>
      </c>
      <c r="G312" s="72" t="s">
        <v>279</v>
      </c>
      <c r="H312" s="69" t="s">
        <v>1692</v>
      </c>
      <c r="I312" s="69" t="s">
        <v>59</v>
      </c>
      <c r="J312" s="86">
        <v>60</v>
      </c>
      <c r="K312" s="87" t="s">
        <v>1693</v>
      </c>
      <c r="L312" s="87" t="s">
        <v>1693</v>
      </c>
      <c r="M312" s="73">
        <v>6204430000</v>
      </c>
      <c r="N312" s="7"/>
      <c r="O312" s="88" t="s">
        <v>94</v>
      </c>
      <c r="P312">
        <v>1</v>
      </c>
    </row>
    <row r="313" spans="1:16" customFormat="1" ht="15">
      <c r="A313" s="84" t="str">
        <f>LEFT(M313,4)</f>
        <v>6204</v>
      </c>
      <c r="B313" s="84" t="str">
        <f t="shared" si="5"/>
        <v>ПЛАТЬЕ Без товарного знака жен. Артикул 5004 цвет СИНИЙ р. 62</v>
      </c>
      <c r="C313" s="69" t="s">
        <v>1690</v>
      </c>
      <c r="D313" s="69" t="s">
        <v>55</v>
      </c>
      <c r="E313" s="85">
        <v>5004</v>
      </c>
      <c r="F313" s="69" t="s">
        <v>1691</v>
      </c>
      <c r="G313" s="72" t="s">
        <v>279</v>
      </c>
      <c r="H313" s="69" t="s">
        <v>1692</v>
      </c>
      <c r="I313" s="69" t="s">
        <v>59</v>
      </c>
      <c r="J313" s="86">
        <v>62</v>
      </c>
      <c r="K313" s="87" t="s">
        <v>1693</v>
      </c>
      <c r="L313" s="87" t="s">
        <v>1693</v>
      </c>
      <c r="M313" s="73">
        <v>6204430000</v>
      </c>
      <c r="N313" s="7"/>
      <c r="O313" s="88" t="s">
        <v>94</v>
      </c>
      <c r="P313">
        <v>1</v>
      </c>
    </row>
    <row r="314" spans="1:16" customFormat="1" ht="15">
      <c r="A314" s="84" t="str">
        <f>LEFT(M314,4)</f>
        <v>6204</v>
      </c>
      <c r="B314" s="84" t="str">
        <f t="shared" si="5"/>
        <v>ПЛАТЬЕ Без товарного знака жен. Артикул 5004 цвет СИНИЙ р. 56</v>
      </c>
      <c r="C314" s="69" t="s">
        <v>1690</v>
      </c>
      <c r="D314" s="69" t="s">
        <v>55</v>
      </c>
      <c r="E314" s="85">
        <v>5004</v>
      </c>
      <c r="F314" s="69" t="s">
        <v>1691</v>
      </c>
      <c r="G314" s="72" t="s">
        <v>279</v>
      </c>
      <c r="H314" s="69" t="s">
        <v>1692</v>
      </c>
      <c r="I314" s="69" t="s">
        <v>59</v>
      </c>
      <c r="J314" s="86">
        <v>56</v>
      </c>
      <c r="K314" s="87" t="s">
        <v>1693</v>
      </c>
      <c r="L314" s="87" t="s">
        <v>1693</v>
      </c>
      <c r="M314" s="73">
        <v>6204430000</v>
      </c>
      <c r="N314" s="7"/>
      <c r="O314" s="88" t="s">
        <v>94</v>
      </c>
      <c r="P314">
        <v>1</v>
      </c>
    </row>
    <row r="315" spans="1:16" customFormat="1" ht="15">
      <c r="A315" s="84" t="str">
        <f>LEFT(M315,4)</f>
        <v>6204</v>
      </c>
      <c r="B315" s="84" t="str">
        <f t="shared" si="5"/>
        <v>ПЛАТЬЕ Без товарного знака жен. Артикул 5004 цвет СИНИЙ р. 60</v>
      </c>
      <c r="C315" s="69" t="s">
        <v>1690</v>
      </c>
      <c r="D315" s="69" t="s">
        <v>55</v>
      </c>
      <c r="E315" s="85">
        <v>5004</v>
      </c>
      <c r="F315" s="69" t="s">
        <v>1691</v>
      </c>
      <c r="G315" s="72" t="s">
        <v>279</v>
      </c>
      <c r="H315" s="69" t="s">
        <v>1692</v>
      </c>
      <c r="I315" s="69" t="s">
        <v>59</v>
      </c>
      <c r="J315" s="86">
        <v>60</v>
      </c>
      <c r="K315" s="87" t="s">
        <v>1693</v>
      </c>
      <c r="L315" s="87" t="s">
        <v>1693</v>
      </c>
      <c r="M315" s="73">
        <v>6204430000</v>
      </c>
      <c r="N315" s="7"/>
      <c r="O315" s="88" t="s">
        <v>94</v>
      </c>
      <c r="P315">
        <v>1</v>
      </c>
    </row>
    <row r="316" spans="1:16" customFormat="1" ht="15">
      <c r="A316" s="84" t="str">
        <f>LEFT(M316,4)</f>
        <v>6204</v>
      </c>
      <c r="B316" s="84" t="str">
        <f t="shared" si="5"/>
        <v>ПЛАТЬЕ Без товарного знака жен. Артикул 3933 цвет ЧЕРНЫЙ р. 62</v>
      </c>
      <c r="C316" s="69" t="s">
        <v>1690</v>
      </c>
      <c r="D316" s="69" t="s">
        <v>55</v>
      </c>
      <c r="E316" s="85">
        <v>3933</v>
      </c>
      <c r="F316" s="69" t="s">
        <v>1691</v>
      </c>
      <c r="G316" s="72" t="s">
        <v>330</v>
      </c>
      <c r="H316" s="69" t="s">
        <v>1692</v>
      </c>
      <c r="I316" s="69" t="s">
        <v>59</v>
      </c>
      <c r="J316" s="86">
        <v>62</v>
      </c>
      <c r="K316" s="87" t="s">
        <v>1712</v>
      </c>
      <c r="L316" s="87" t="s">
        <v>1712</v>
      </c>
      <c r="M316" s="73">
        <v>6204430000</v>
      </c>
      <c r="N316" s="7"/>
      <c r="O316" s="88" t="s">
        <v>94</v>
      </c>
      <c r="P316">
        <v>1</v>
      </c>
    </row>
    <row r="317" spans="1:16" customFormat="1" ht="15">
      <c r="A317" s="84" t="str">
        <f>LEFT(M317,4)</f>
        <v>6204</v>
      </c>
      <c r="B317" s="84" t="str">
        <f t="shared" si="5"/>
        <v>ПЛАТЬЕ Без товарного знака жен. Артикул 4309 цвет ТЕМНО-СИНИЙ р. 62</v>
      </c>
      <c r="C317" s="69" t="s">
        <v>1690</v>
      </c>
      <c r="D317" s="69" t="s">
        <v>55</v>
      </c>
      <c r="E317" s="85">
        <v>4309</v>
      </c>
      <c r="F317" s="69" t="s">
        <v>1691</v>
      </c>
      <c r="G317" s="72" t="s">
        <v>309</v>
      </c>
      <c r="H317" s="69" t="s">
        <v>1692</v>
      </c>
      <c r="I317" s="69" t="s">
        <v>59</v>
      </c>
      <c r="J317" s="86">
        <v>62</v>
      </c>
      <c r="K317" s="87" t="s">
        <v>1758</v>
      </c>
      <c r="L317" s="87" t="s">
        <v>1758</v>
      </c>
      <c r="M317" s="73">
        <v>6204430000</v>
      </c>
      <c r="N317" s="7"/>
      <c r="O317" s="88" t="s">
        <v>401</v>
      </c>
      <c r="P317">
        <v>1</v>
      </c>
    </row>
    <row r="318" spans="1:16" customFormat="1" ht="15">
      <c r="A318" s="84" t="str">
        <f>LEFT(M318,4)</f>
        <v>6204</v>
      </c>
      <c r="B318" s="84" t="str">
        <f t="shared" si="5"/>
        <v>ПЛАТЬЕ Без товарного знака жен. Артикул 6045 цвет РАЗНОЦВЕТНЫЙ р. 64</v>
      </c>
      <c r="C318" s="69" t="s">
        <v>1690</v>
      </c>
      <c r="D318" s="69" t="s">
        <v>55</v>
      </c>
      <c r="E318" s="85">
        <v>6045</v>
      </c>
      <c r="F318" s="69" t="s">
        <v>1691</v>
      </c>
      <c r="G318" s="72" t="s">
        <v>229</v>
      </c>
      <c r="H318" s="69" t="s">
        <v>1692</v>
      </c>
      <c r="I318" s="69" t="s">
        <v>59</v>
      </c>
      <c r="J318" s="86">
        <v>64</v>
      </c>
      <c r="K318" s="87" t="s">
        <v>1693</v>
      </c>
      <c r="L318" s="87" t="s">
        <v>1693</v>
      </c>
      <c r="M318" s="73">
        <v>6204430000</v>
      </c>
      <c r="N318" s="7"/>
      <c r="O318" s="88" t="s">
        <v>94</v>
      </c>
      <c r="P318">
        <v>1</v>
      </c>
    </row>
    <row r="319" spans="1:16" customFormat="1" ht="15">
      <c r="A319" s="84" t="str">
        <f>LEFT(M319,4)</f>
        <v>6204</v>
      </c>
      <c r="B319" s="84" t="str">
        <f t="shared" si="5"/>
        <v>ПЛАТЬЕ Без товарного знака жен. Артикул 3431 цвет КОРИЧНЕВЫЙ р. 62</v>
      </c>
      <c r="C319" s="69" t="s">
        <v>1690</v>
      </c>
      <c r="D319" s="69" t="s">
        <v>55</v>
      </c>
      <c r="E319" s="85">
        <v>3431</v>
      </c>
      <c r="F319" s="69" t="s">
        <v>1691</v>
      </c>
      <c r="G319" s="72" t="s">
        <v>176</v>
      </c>
      <c r="H319" s="69" t="s">
        <v>1692</v>
      </c>
      <c r="I319" s="69" t="s">
        <v>59</v>
      </c>
      <c r="J319" s="86">
        <v>62</v>
      </c>
      <c r="K319" s="87" t="s">
        <v>1693</v>
      </c>
      <c r="L319" s="87" t="s">
        <v>1693</v>
      </c>
      <c r="M319" s="73">
        <v>6204430000</v>
      </c>
      <c r="N319" s="7"/>
      <c r="O319" s="88" t="s">
        <v>582</v>
      </c>
      <c r="P319">
        <v>1</v>
      </c>
    </row>
    <row r="320" spans="1:16" customFormat="1" ht="15">
      <c r="A320" s="84" t="str">
        <f>LEFT(M320,4)</f>
        <v>6204</v>
      </c>
      <c r="B320" s="84" t="str">
        <f t="shared" si="5"/>
        <v>ПЛАТЬЕ Без товарного знака жен. Артикул 5629 цвет РАЗНОЦВЕТНЫЙ р. 62</v>
      </c>
      <c r="C320" s="69" t="s">
        <v>1690</v>
      </c>
      <c r="D320" s="69" t="s">
        <v>55</v>
      </c>
      <c r="E320" s="85">
        <v>5629</v>
      </c>
      <c r="F320" s="69" t="s">
        <v>1691</v>
      </c>
      <c r="G320" s="72" t="s">
        <v>229</v>
      </c>
      <c r="H320" s="69" t="s">
        <v>1692</v>
      </c>
      <c r="I320" s="69" t="s">
        <v>59</v>
      </c>
      <c r="J320" s="86">
        <v>62</v>
      </c>
      <c r="K320" s="87" t="s">
        <v>1693</v>
      </c>
      <c r="L320" s="87" t="s">
        <v>1693</v>
      </c>
      <c r="M320" s="73">
        <v>6204430000</v>
      </c>
      <c r="N320" s="7"/>
      <c r="O320" s="88" t="s">
        <v>582</v>
      </c>
      <c r="P320">
        <v>1</v>
      </c>
    </row>
    <row r="321" spans="1:16" customFormat="1" ht="15">
      <c r="A321" s="84" t="str">
        <f>LEFT(M321,4)</f>
        <v>6204</v>
      </c>
      <c r="B321" s="84" t="str">
        <f t="shared" si="5"/>
        <v>ПЛАТЬЕ Без товарного знака жен. Артикул 7040 цвет РАЗНОЦВЕТНЫЙ р. 62</v>
      </c>
      <c r="C321" s="69" t="s">
        <v>1690</v>
      </c>
      <c r="D321" s="69" t="s">
        <v>55</v>
      </c>
      <c r="E321" s="85">
        <v>7040</v>
      </c>
      <c r="F321" s="69" t="s">
        <v>1691</v>
      </c>
      <c r="G321" s="72" t="s">
        <v>229</v>
      </c>
      <c r="H321" s="69" t="s">
        <v>1692</v>
      </c>
      <c r="I321" s="69" t="s">
        <v>59</v>
      </c>
      <c r="J321" s="86">
        <v>62</v>
      </c>
      <c r="K321" s="87" t="s">
        <v>1693</v>
      </c>
      <c r="L321" s="87" t="s">
        <v>1693</v>
      </c>
      <c r="M321" s="73">
        <v>6204430000</v>
      </c>
      <c r="N321" s="7"/>
      <c r="O321" s="88" t="s">
        <v>582</v>
      </c>
      <c r="P321">
        <v>1</v>
      </c>
    </row>
    <row r="322" spans="1:16" customFormat="1" ht="15">
      <c r="A322" s="84" t="str">
        <f>LEFT(M322,4)</f>
        <v>6204</v>
      </c>
      <c r="B322" s="84" t="str">
        <f t="shared" si="5"/>
        <v>ПЛАТЬЕ Без товарного знака жен. Артикул 7040 цвет РАЗНОЦВЕТНЫЙ р. 64</v>
      </c>
      <c r="C322" s="69" t="s">
        <v>1690</v>
      </c>
      <c r="D322" s="69" t="s">
        <v>55</v>
      </c>
      <c r="E322" s="85">
        <v>7040</v>
      </c>
      <c r="F322" s="69" t="s">
        <v>1691</v>
      </c>
      <c r="G322" s="72" t="s">
        <v>229</v>
      </c>
      <c r="H322" s="69" t="s">
        <v>1692</v>
      </c>
      <c r="I322" s="69" t="s">
        <v>59</v>
      </c>
      <c r="J322" s="86">
        <v>64</v>
      </c>
      <c r="K322" s="87" t="s">
        <v>1693</v>
      </c>
      <c r="L322" s="87" t="s">
        <v>1693</v>
      </c>
      <c r="M322" s="73">
        <v>6204430000</v>
      </c>
      <c r="N322" s="7"/>
      <c r="O322" s="88" t="s">
        <v>582</v>
      </c>
      <c r="P322">
        <v>1</v>
      </c>
    </row>
    <row r="323" spans="1:16" customFormat="1" ht="15">
      <c r="A323" s="84" t="str">
        <f>LEFT(M323,4)</f>
        <v>6204</v>
      </c>
      <c r="B323" s="84" t="str">
        <f t="shared" si="5"/>
        <v>ПЛАТЬЕ Без товарного знака жен. Артикул 7507 цвет РАЗНОЦВЕТНЫЙ р. 54</v>
      </c>
      <c r="C323" s="69" t="s">
        <v>1690</v>
      </c>
      <c r="D323" s="69" t="s">
        <v>55</v>
      </c>
      <c r="E323" s="85">
        <v>7507</v>
      </c>
      <c r="F323" s="69" t="s">
        <v>1691</v>
      </c>
      <c r="G323" s="72" t="s">
        <v>229</v>
      </c>
      <c r="H323" s="69" t="s">
        <v>1692</v>
      </c>
      <c r="I323" s="69" t="s">
        <v>59</v>
      </c>
      <c r="J323" s="86">
        <v>54</v>
      </c>
      <c r="K323" s="87" t="s">
        <v>1693</v>
      </c>
      <c r="L323" s="87" t="s">
        <v>1693</v>
      </c>
      <c r="M323" s="73">
        <v>6204430000</v>
      </c>
      <c r="N323" s="7"/>
      <c r="O323" s="88" t="s">
        <v>94</v>
      </c>
      <c r="P323">
        <v>1</v>
      </c>
    </row>
    <row r="324" spans="1:16" customFormat="1" ht="15">
      <c r="A324" s="84" t="str">
        <f>LEFT(M324,4)</f>
        <v>6204</v>
      </c>
      <c r="B324" s="84" t="str">
        <f t="shared" si="5"/>
        <v>ПЛАТЬЕ Без товарного знака жен. Артикул 7507 цвет РАЗНОЦВЕТНЫЙ р. 56</v>
      </c>
      <c r="C324" s="69" t="s">
        <v>1690</v>
      </c>
      <c r="D324" s="69" t="s">
        <v>55</v>
      </c>
      <c r="E324" s="85">
        <v>7507</v>
      </c>
      <c r="F324" s="69" t="s">
        <v>1691</v>
      </c>
      <c r="G324" s="72" t="s">
        <v>229</v>
      </c>
      <c r="H324" s="69" t="s">
        <v>1692</v>
      </c>
      <c r="I324" s="69" t="s">
        <v>59</v>
      </c>
      <c r="J324" s="86">
        <v>56</v>
      </c>
      <c r="K324" s="87" t="s">
        <v>1693</v>
      </c>
      <c r="L324" s="87" t="s">
        <v>1693</v>
      </c>
      <c r="M324" s="73">
        <v>6204430000</v>
      </c>
      <c r="N324" s="7"/>
      <c r="O324" s="88" t="s">
        <v>94</v>
      </c>
      <c r="P324">
        <v>1</v>
      </c>
    </row>
    <row r="325" spans="1:16" customFormat="1" ht="15">
      <c r="A325" s="84" t="str">
        <f>LEFT(M325,4)</f>
        <v>6204</v>
      </c>
      <c r="B325" s="84" t="str">
        <f t="shared" si="5"/>
        <v>ПЛАТЬЕ Без товарного знака жен. Артикул 7507 цвет РАЗНОЦВЕТНЫЙ р. 58</v>
      </c>
      <c r="C325" s="69" t="s">
        <v>1690</v>
      </c>
      <c r="D325" s="69" t="s">
        <v>55</v>
      </c>
      <c r="E325" s="85">
        <v>7507</v>
      </c>
      <c r="F325" s="69" t="s">
        <v>1691</v>
      </c>
      <c r="G325" s="72" t="s">
        <v>229</v>
      </c>
      <c r="H325" s="69" t="s">
        <v>1692</v>
      </c>
      <c r="I325" s="69" t="s">
        <v>59</v>
      </c>
      <c r="J325" s="86">
        <v>58</v>
      </c>
      <c r="K325" s="87" t="s">
        <v>1693</v>
      </c>
      <c r="L325" s="87" t="s">
        <v>1693</v>
      </c>
      <c r="M325" s="73">
        <v>6204430000</v>
      </c>
      <c r="N325" s="7"/>
      <c r="O325" s="88" t="s">
        <v>94</v>
      </c>
      <c r="P325">
        <v>1</v>
      </c>
    </row>
    <row r="326" spans="1:16" customFormat="1" ht="15">
      <c r="A326" s="84" t="str">
        <f>LEFT(M326,4)</f>
        <v>6204</v>
      </c>
      <c r="B326" s="84" t="str">
        <f t="shared" si="5"/>
        <v>ПЛАТЬЕ Без товарного знака жен. Артикул 7507 цвет РАЗНОЦВЕТНЫЙ р. 60</v>
      </c>
      <c r="C326" s="69" t="s">
        <v>1690</v>
      </c>
      <c r="D326" s="69" t="s">
        <v>55</v>
      </c>
      <c r="E326" s="85">
        <v>7507</v>
      </c>
      <c r="F326" s="69" t="s">
        <v>1691</v>
      </c>
      <c r="G326" s="72" t="s">
        <v>229</v>
      </c>
      <c r="H326" s="69" t="s">
        <v>1692</v>
      </c>
      <c r="I326" s="69" t="s">
        <v>59</v>
      </c>
      <c r="J326" s="86">
        <v>60</v>
      </c>
      <c r="K326" s="87" t="s">
        <v>1693</v>
      </c>
      <c r="L326" s="87" t="s">
        <v>1693</v>
      </c>
      <c r="M326" s="73">
        <v>6204430000</v>
      </c>
      <c r="N326" s="7"/>
      <c r="O326" s="88" t="s">
        <v>94</v>
      </c>
      <c r="P326">
        <v>1</v>
      </c>
    </row>
    <row r="327" spans="1:16" customFormat="1" ht="15">
      <c r="A327" s="84" t="str">
        <f>LEFT(M327,4)</f>
        <v>6204</v>
      </c>
      <c r="B327" s="84" t="str">
        <f t="shared" si="5"/>
        <v>ПЛАТЬЕ Без товарного знака жен. Артикул 6101 цвет СИНИЙ р. 60</v>
      </c>
      <c r="C327" s="69" t="s">
        <v>1690</v>
      </c>
      <c r="D327" s="69" t="s">
        <v>55</v>
      </c>
      <c r="E327" s="85">
        <v>6101</v>
      </c>
      <c r="F327" s="69" t="s">
        <v>1691</v>
      </c>
      <c r="G327" s="72" t="s">
        <v>279</v>
      </c>
      <c r="H327" s="69" t="s">
        <v>1692</v>
      </c>
      <c r="I327" s="69" t="s">
        <v>59</v>
      </c>
      <c r="J327" s="86">
        <v>60</v>
      </c>
      <c r="K327" s="87" t="s">
        <v>1753</v>
      </c>
      <c r="L327" s="87" t="s">
        <v>1753</v>
      </c>
      <c r="M327" s="73">
        <v>6204499000</v>
      </c>
      <c r="N327" s="7"/>
      <c r="O327" s="88" t="s">
        <v>94</v>
      </c>
      <c r="P327">
        <v>1</v>
      </c>
    </row>
    <row r="328" spans="1:16" customFormat="1" ht="15.75">
      <c r="A328" s="84" t="str">
        <f>LEFT(M328,4)</f>
        <v>6204</v>
      </c>
      <c r="B328" s="84" t="str">
        <f t="shared" si="5"/>
        <v>ПЛАТЬЕ Без товарного знака жен. Артикул 5787 цвет ТЕМНО-СИНИЙ р. 60</v>
      </c>
      <c r="C328" s="69" t="s">
        <v>1690</v>
      </c>
      <c r="D328" s="69" t="s">
        <v>55</v>
      </c>
      <c r="E328" s="85">
        <v>5787</v>
      </c>
      <c r="F328" s="69" t="s">
        <v>1691</v>
      </c>
      <c r="G328" s="72" t="s">
        <v>309</v>
      </c>
      <c r="H328" s="69" t="s">
        <v>1692</v>
      </c>
      <c r="I328" s="69" t="s">
        <v>59</v>
      </c>
      <c r="J328" s="86">
        <v>60</v>
      </c>
      <c r="K328" s="89" t="s">
        <v>1693</v>
      </c>
      <c r="L328" s="89" t="s">
        <v>1693</v>
      </c>
      <c r="M328" s="73">
        <v>6204430000</v>
      </c>
      <c r="N328" s="7"/>
      <c r="O328" s="88" t="s">
        <v>94</v>
      </c>
      <c r="P328">
        <v>1</v>
      </c>
    </row>
    <row r="329" spans="1:16" customFormat="1" ht="15.75">
      <c r="A329" s="84" t="str">
        <f>LEFT(M329,4)</f>
        <v>6204</v>
      </c>
      <c r="B329" s="84" t="str">
        <f t="shared" si="5"/>
        <v>ПЛАТЬЕ Без товарного знака жен. Артикул 1273 цвет РАЗНОЦВЕТНЫЙ р. 58</v>
      </c>
      <c r="C329" s="69" t="s">
        <v>1690</v>
      </c>
      <c r="D329" s="69" t="s">
        <v>55</v>
      </c>
      <c r="E329" s="85">
        <v>1273</v>
      </c>
      <c r="F329" s="69" t="s">
        <v>1691</v>
      </c>
      <c r="G329" s="72" t="s">
        <v>229</v>
      </c>
      <c r="H329" s="69" t="s">
        <v>1692</v>
      </c>
      <c r="I329" s="69" t="s">
        <v>59</v>
      </c>
      <c r="J329" s="86">
        <v>58</v>
      </c>
      <c r="K329" s="89" t="s">
        <v>1693</v>
      </c>
      <c r="L329" s="89" t="s">
        <v>1693</v>
      </c>
      <c r="M329" s="73">
        <v>6204430000</v>
      </c>
      <c r="N329" s="7"/>
      <c r="O329" s="88" t="s">
        <v>94</v>
      </c>
      <c r="P329">
        <v>1</v>
      </c>
    </row>
    <row r="330" spans="1:16" customFormat="1" ht="15.75">
      <c r="A330" s="84" t="str">
        <f>LEFT(M330,4)</f>
        <v>6204</v>
      </c>
      <c r="B330" s="84" t="str">
        <f t="shared" si="5"/>
        <v>ПЛАТЬЕ Без товарного знака жен. Артикул 5294 цвет РАЗНОЦВЕТНЫЙ р. 52</v>
      </c>
      <c r="C330" s="69" t="s">
        <v>1690</v>
      </c>
      <c r="D330" s="69" t="s">
        <v>55</v>
      </c>
      <c r="E330" s="85">
        <v>5294</v>
      </c>
      <c r="F330" s="69" t="s">
        <v>1691</v>
      </c>
      <c r="G330" s="72" t="s">
        <v>229</v>
      </c>
      <c r="H330" s="69" t="s">
        <v>1692</v>
      </c>
      <c r="I330" s="69" t="s">
        <v>59</v>
      </c>
      <c r="J330" s="86">
        <v>52</v>
      </c>
      <c r="K330" s="89" t="s">
        <v>1693</v>
      </c>
      <c r="L330" s="89" t="s">
        <v>1693</v>
      </c>
      <c r="M330" s="73">
        <v>6204430000</v>
      </c>
      <c r="N330" s="7"/>
      <c r="O330" s="88" t="s">
        <v>94</v>
      </c>
      <c r="P330">
        <v>1</v>
      </c>
    </row>
    <row r="331" spans="1:16" customFormat="1" ht="15.75">
      <c r="A331" s="84" t="str">
        <f>LEFT(M331,4)</f>
        <v>6204</v>
      </c>
      <c r="B331" s="84" t="str">
        <f t="shared" si="5"/>
        <v>ПЛАТЬЕ Без товарного знака жен. Артикул 5277 цвет РАЗНОЦВЕТНЫЙ р. 56</v>
      </c>
      <c r="C331" s="69" t="s">
        <v>1690</v>
      </c>
      <c r="D331" s="69" t="s">
        <v>55</v>
      </c>
      <c r="E331" s="85">
        <v>5277</v>
      </c>
      <c r="F331" s="69" t="s">
        <v>1691</v>
      </c>
      <c r="G331" s="72" t="s">
        <v>229</v>
      </c>
      <c r="H331" s="69" t="s">
        <v>1692</v>
      </c>
      <c r="I331" s="69" t="s">
        <v>59</v>
      </c>
      <c r="J331" s="86">
        <v>56</v>
      </c>
      <c r="K331" s="89" t="s">
        <v>1759</v>
      </c>
      <c r="L331" s="89" t="s">
        <v>1759</v>
      </c>
      <c r="M331" s="73">
        <v>6204440000</v>
      </c>
      <c r="N331" s="7"/>
      <c r="O331" s="88" t="s">
        <v>94</v>
      </c>
      <c r="P331">
        <v>1</v>
      </c>
    </row>
    <row r="332" spans="1:16" customFormat="1" ht="15.75">
      <c r="A332" s="84" t="str">
        <f>LEFT(M332,4)</f>
        <v>6204</v>
      </c>
      <c r="B332" s="84" t="str">
        <f t="shared" si="5"/>
        <v>ПЛАТЬЕ Без товарного знака жен. Артикул 7310 цвет ЧЕРНЫЙ р. 54</v>
      </c>
      <c r="C332" s="69" t="s">
        <v>1690</v>
      </c>
      <c r="D332" s="69" t="s">
        <v>55</v>
      </c>
      <c r="E332" s="85">
        <v>7310</v>
      </c>
      <c r="F332" s="69" t="s">
        <v>1691</v>
      </c>
      <c r="G332" s="72" t="s">
        <v>330</v>
      </c>
      <c r="H332" s="69" t="s">
        <v>1692</v>
      </c>
      <c r="I332" s="69" t="s">
        <v>59</v>
      </c>
      <c r="J332" s="86">
        <v>54</v>
      </c>
      <c r="K332" s="89" t="s">
        <v>1693</v>
      </c>
      <c r="L332" s="89" t="s">
        <v>1693</v>
      </c>
      <c r="M332" s="73">
        <v>6204430000</v>
      </c>
      <c r="N332" s="7"/>
      <c r="O332" s="88" t="s">
        <v>94</v>
      </c>
      <c r="P332">
        <v>1</v>
      </c>
    </row>
    <row r="333" spans="1:16" customFormat="1" ht="15.75">
      <c r="A333" s="84" t="str">
        <f>LEFT(M333,4)</f>
        <v>6204</v>
      </c>
      <c r="B333" s="84" t="str">
        <f t="shared" si="5"/>
        <v>ПЛАТЬЕ Без товарного знака жен. Артикул 7310 цвет ЧЕРНЫЙ р. 56</v>
      </c>
      <c r="C333" s="69" t="s">
        <v>1690</v>
      </c>
      <c r="D333" s="69" t="s">
        <v>55</v>
      </c>
      <c r="E333" s="85">
        <v>7310</v>
      </c>
      <c r="F333" s="69" t="s">
        <v>1691</v>
      </c>
      <c r="G333" s="72" t="s">
        <v>330</v>
      </c>
      <c r="H333" s="69" t="s">
        <v>1692</v>
      </c>
      <c r="I333" s="69" t="s">
        <v>59</v>
      </c>
      <c r="J333" s="86">
        <v>56</v>
      </c>
      <c r="K333" s="89" t="s">
        <v>1693</v>
      </c>
      <c r="L333" s="89" t="s">
        <v>1693</v>
      </c>
      <c r="M333" s="73">
        <v>6204430000</v>
      </c>
      <c r="N333" s="7"/>
      <c r="O333" s="88" t="s">
        <v>94</v>
      </c>
      <c r="P333">
        <v>1</v>
      </c>
    </row>
    <row r="334" spans="1:16" customFormat="1" ht="15.75">
      <c r="A334" s="84" t="str">
        <f>LEFT(M334,4)</f>
        <v>6204</v>
      </c>
      <c r="B334" s="84" t="str">
        <f t="shared" si="5"/>
        <v>ПЛАТЬЕ Без товарного знака жен. Артикул 7310 цвет ЧЕРНЫЙ р. 58</v>
      </c>
      <c r="C334" s="69" t="s">
        <v>1690</v>
      </c>
      <c r="D334" s="69" t="s">
        <v>55</v>
      </c>
      <c r="E334" s="85">
        <v>7310</v>
      </c>
      <c r="F334" s="69" t="s">
        <v>1691</v>
      </c>
      <c r="G334" s="72" t="s">
        <v>330</v>
      </c>
      <c r="H334" s="69" t="s">
        <v>1692</v>
      </c>
      <c r="I334" s="69" t="s">
        <v>59</v>
      </c>
      <c r="J334" s="86">
        <v>58</v>
      </c>
      <c r="K334" s="89" t="s">
        <v>1693</v>
      </c>
      <c r="L334" s="89" t="s">
        <v>1693</v>
      </c>
      <c r="M334" s="73">
        <v>6204430000</v>
      </c>
      <c r="N334" s="7"/>
      <c r="O334" s="88" t="s">
        <v>94</v>
      </c>
      <c r="P334">
        <v>1</v>
      </c>
    </row>
    <row r="335" spans="1:16" customFormat="1" ht="15.75">
      <c r="A335" s="84" t="str">
        <f>LEFT(M335,4)</f>
        <v>6204</v>
      </c>
      <c r="B335" s="84" t="str">
        <f t="shared" si="5"/>
        <v>ПЛАТЬЕ Без товарного знака жен. Артикул 131141 цвет СИНИЙ р. 48</v>
      </c>
      <c r="C335" s="69" t="s">
        <v>1690</v>
      </c>
      <c r="D335" s="69" t="s">
        <v>55</v>
      </c>
      <c r="E335" s="90">
        <v>131141</v>
      </c>
      <c r="F335" s="69" t="s">
        <v>1691</v>
      </c>
      <c r="G335" s="72" t="s">
        <v>279</v>
      </c>
      <c r="H335" s="69" t="s">
        <v>1692</v>
      </c>
      <c r="I335" s="69" t="s">
        <v>59</v>
      </c>
      <c r="J335" s="86">
        <v>48</v>
      </c>
      <c r="K335" s="89" t="s">
        <v>1760</v>
      </c>
      <c r="L335" s="89" t="s">
        <v>1760</v>
      </c>
      <c r="M335" s="73">
        <v>6204430000</v>
      </c>
      <c r="N335" s="7"/>
      <c r="O335" s="88" t="s">
        <v>59</v>
      </c>
      <c r="P335">
        <v>1</v>
      </c>
    </row>
    <row r="336" spans="1:16" customFormat="1" ht="15.75">
      <c r="A336" s="84" t="str">
        <f>LEFT(M336,4)</f>
        <v>6204</v>
      </c>
      <c r="B336" s="84" t="str">
        <f t="shared" si="5"/>
        <v>ПЛАТЬЕ Без товарного знака жен. Артикул 131141 цвет СИНИЙ р. 44</v>
      </c>
      <c r="C336" s="69" t="s">
        <v>1690</v>
      </c>
      <c r="D336" s="69" t="s">
        <v>55</v>
      </c>
      <c r="E336" s="91">
        <v>131141</v>
      </c>
      <c r="F336" s="69" t="s">
        <v>1691</v>
      </c>
      <c r="G336" s="72" t="s">
        <v>279</v>
      </c>
      <c r="H336" s="69" t="s">
        <v>1692</v>
      </c>
      <c r="I336" s="69" t="s">
        <v>59</v>
      </c>
      <c r="J336" s="86">
        <v>44</v>
      </c>
      <c r="K336" s="89" t="s">
        <v>1760</v>
      </c>
      <c r="L336" s="89" t="s">
        <v>1760</v>
      </c>
      <c r="M336" s="73">
        <v>6204430000</v>
      </c>
      <c r="N336" s="7"/>
      <c r="O336" s="88" t="s">
        <v>59</v>
      </c>
      <c r="P336">
        <v>1</v>
      </c>
    </row>
    <row r="337" spans="1:16" customFormat="1" ht="15.75">
      <c r="A337" s="84" t="str">
        <f>LEFT(M337,4)</f>
        <v>6204</v>
      </c>
      <c r="B337" s="84" t="str">
        <f t="shared" si="5"/>
        <v>ПЛАТЬЕ Без товарного знака жен. Артикул 131141 цвет СИНИЙ р. 46</v>
      </c>
      <c r="C337" s="69" t="s">
        <v>1690</v>
      </c>
      <c r="D337" s="69" t="s">
        <v>55</v>
      </c>
      <c r="E337" s="91">
        <v>131141</v>
      </c>
      <c r="F337" s="69" t="s">
        <v>1691</v>
      </c>
      <c r="G337" s="72" t="s">
        <v>279</v>
      </c>
      <c r="H337" s="69" t="s">
        <v>1692</v>
      </c>
      <c r="I337" s="69" t="s">
        <v>59</v>
      </c>
      <c r="J337" s="86">
        <v>46</v>
      </c>
      <c r="K337" s="89" t="s">
        <v>1760</v>
      </c>
      <c r="L337" s="89" t="s">
        <v>1760</v>
      </c>
      <c r="M337" s="73">
        <v>6204430000</v>
      </c>
      <c r="N337" s="7"/>
      <c r="O337" s="88" t="s">
        <v>59</v>
      </c>
      <c r="P337">
        <v>1</v>
      </c>
    </row>
    <row r="338" spans="1:16" customFormat="1" ht="15.75">
      <c r="A338" s="84" t="str">
        <f>LEFT(M338,4)</f>
        <v>6204</v>
      </c>
      <c r="B338" s="84" t="str">
        <f t="shared" si="5"/>
        <v>ПЛАТЬЕ Без товарного знака жен. Артикул 134 цвет баклажановый р. 48</v>
      </c>
      <c r="C338" s="69" t="s">
        <v>1690</v>
      </c>
      <c r="D338" s="69" t="s">
        <v>55</v>
      </c>
      <c r="E338" s="91">
        <v>134</v>
      </c>
      <c r="F338" s="69" t="s">
        <v>1691</v>
      </c>
      <c r="G338" s="75" t="s">
        <v>1701</v>
      </c>
      <c r="H338" s="69" t="s">
        <v>1692</v>
      </c>
      <c r="I338" s="69" t="s">
        <v>59</v>
      </c>
      <c r="J338" s="86">
        <v>48</v>
      </c>
      <c r="K338" s="89" t="s">
        <v>1761</v>
      </c>
      <c r="L338" s="89" t="s">
        <v>1761</v>
      </c>
      <c r="M338" s="73">
        <v>6204430000</v>
      </c>
      <c r="N338" s="7"/>
      <c r="O338" s="88" t="s">
        <v>94</v>
      </c>
      <c r="P338">
        <v>1</v>
      </c>
    </row>
    <row r="339" spans="1:16" customFormat="1" ht="15.75">
      <c r="A339" s="84" t="str">
        <f>LEFT(M339,4)</f>
        <v>6204</v>
      </c>
      <c r="B339" s="84" t="str">
        <f t="shared" si="5"/>
        <v>ПЛАТЬЕ Без товарного знака жен. Артикул 134341 цвет ТЕМНО-СИНИЙ р. 48</v>
      </c>
      <c r="C339" s="69" t="s">
        <v>1690</v>
      </c>
      <c r="D339" s="69" t="s">
        <v>55</v>
      </c>
      <c r="E339" s="91">
        <v>134341</v>
      </c>
      <c r="F339" s="69" t="s">
        <v>1691</v>
      </c>
      <c r="G339" s="72" t="s">
        <v>309</v>
      </c>
      <c r="H339" s="69" t="s">
        <v>1692</v>
      </c>
      <c r="I339" s="69" t="s">
        <v>59</v>
      </c>
      <c r="J339" s="86">
        <v>48</v>
      </c>
      <c r="K339" s="89" t="s">
        <v>1762</v>
      </c>
      <c r="L339" s="89" t="s">
        <v>1762</v>
      </c>
      <c r="M339" s="73">
        <v>6204430000</v>
      </c>
      <c r="N339" s="7"/>
      <c r="O339" s="88" t="s">
        <v>59</v>
      </c>
      <c r="P339">
        <v>1</v>
      </c>
    </row>
    <row r="340" spans="1:16" customFormat="1" ht="15.75">
      <c r="A340" s="84" t="str">
        <f>LEFT(M340,4)</f>
        <v>6204</v>
      </c>
      <c r="B340" s="84" t="str">
        <f t="shared" si="5"/>
        <v>ПЛАТЬЕ Без товарного знака жен. Артикул 5182 цвет ЧЕРНЫЙ р. 48</v>
      </c>
      <c r="C340" s="69" t="s">
        <v>1690</v>
      </c>
      <c r="D340" s="69" t="s">
        <v>55</v>
      </c>
      <c r="E340" s="92">
        <v>5182</v>
      </c>
      <c r="F340" s="69" t="s">
        <v>1691</v>
      </c>
      <c r="G340" s="72" t="s">
        <v>330</v>
      </c>
      <c r="H340" s="69" t="s">
        <v>1692</v>
      </c>
      <c r="I340" s="69" t="s">
        <v>59</v>
      </c>
      <c r="J340" s="86">
        <v>48</v>
      </c>
      <c r="K340" s="89" t="s">
        <v>1746</v>
      </c>
      <c r="L340" s="89" t="s">
        <v>1746</v>
      </c>
      <c r="M340" s="73">
        <v>6204420000</v>
      </c>
      <c r="N340" s="7"/>
      <c r="O340" s="88" t="s">
        <v>94</v>
      </c>
      <c r="P340">
        <v>1</v>
      </c>
    </row>
    <row r="341" spans="1:16" customFormat="1" ht="15.75">
      <c r="A341" s="84" t="str">
        <f>LEFT(M341,4)</f>
        <v>6204</v>
      </c>
      <c r="B341" s="84" t="str">
        <f t="shared" si="5"/>
        <v>ПЛАТЬЕ Без товарного знака жен. Артикул 5182 цвет ЧЕРНЫЙ р. 50</v>
      </c>
      <c r="C341" s="69" t="s">
        <v>1690</v>
      </c>
      <c r="D341" s="69" t="s">
        <v>55</v>
      </c>
      <c r="E341" s="92">
        <v>5182</v>
      </c>
      <c r="F341" s="69" t="s">
        <v>1691</v>
      </c>
      <c r="G341" s="72" t="s">
        <v>330</v>
      </c>
      <c r="H341" s="69" t="s">
        <v>1692</v>
      </c>
      <c r="I341" s="69" t="s">
        <v>59</v>
      </c>
      <c r="J341" s="86">
        <v>50</v>
      </c>
      <c r="K341" s="89" t="s">
        <v>1746</v>
      </c>
      <c r="L341" s="89" t="s">
        <v>1746</v>
      </c>
      <c r="M341" s="73">
        <v>6204420000</v>
      </c>
      <c r="N341" s="7"/>
      <c r="O341" s="88" t="s">
        <v>94</v>
      </c>
      <c r="P341">
        <v>1</v>
      </c>
    </row>
    <row r="342" spans="1:16" customFormat="1" ht="15.75">
      <c r="A342" s="84" t="str">
        <f>LEFT(M342,4)</f>
        <v>6204</v>
      </c>
      <c r="B342" s="84" t="str">
        <f t="shared" si="5"/>
        <v>ПЛАТЬЕ Без товарного знака жен. Артикул 1075 цвет ЧЕРНЫЙ р. 48</v>
      </c>
      <c r="C342" s="69" t="s">
        <v>1690</v>
      </c>
      <c r="D342" s="69" t="s">
        <v>55</v>
      </c>
      <c r="E342" s="92">
        <v>1075</v>
      </c>
      <c r="F342" s="69" t="s">
        <v>1691</v>
      </c>
      <c r="G342" s="72" t="s">
        <v>330</v>
      </c>
      <c r="H342" s="69" t="s">
        <v>1692</v>
      </c>
      <c r="I342" s="69" t="s">
        <v>59</v>
      </c>
      <c r="J342" s="86">
        <v>48</v>
      </c>
      <c r="K342" s="89" t="s">
        <v>1693</v>
      </c>
      <c r="L342" s="89" t="s">
        <v>1693</v>
      </c>
      <c r="M342" s="73">
        <v>6204430000</v>
      </c>
      <c r="N342" s="7"/>
      <c r="O342" s="88" t="s">
        <v>94</v>
      </c>
      <c r="P342">
        <v>1</v>
      </c>
    </row>
    <row r="343" spans="1:16" customFormat="1" ht="15.75">
      <c r="A343" s="84" t="str">
        <f>LEFT(M343,4)</f>
        <v>6204</v>
      </c>
      <c r="B343" s="84" t="str">
        <f t="shared" si="5"/>
        <v>ПЛАТЬЕ Без товарного знака жен. Артикул 1075 цвет ЧЕРНЫЙ р. 52</v>
      </c>
      <c r="C343" s="69" t="s">
        <v>1690</v>
      </c>
      <c r="D343" s="69" t="s">
        <v>55</v>
      </c>
      <c r="E343" s="92">
        <v>1075</v>
      </c>
      <c r="F343" s="69" t="s">
        <v>1691</v>
      </c>
      <c r="G343" s="72" t="s">
        <v>330</v>
      </c>
      <c r="H343" s="69" t="s">
        <v>1692</v>
      </c>
      <c r="I343" s="69" t="s">
        <v>59</v>
      </c>
      <c r="J343" s="86">
        <v>52</v>
      </c>
      <c r="K343" s="89" t="s">
        <v>1693</v>
      </c>
      <c r="L343" s="89" t="s">
        <v>1693</v>
      </c>
      <c r="M343" s="73">
        <v>6204430000</v>
      </c>
      <c r="N343" s="7"/>
      <c r="O343" s="88" t="s">
        <v>94</v>
      </c>
      <c r="P343">
        <v>1</v>
      </c>
    </row>
    <row r="344" spans="1:16" customFormat="1" ht="15.75">
      <c r="A344" s="84" t="str">
        <f>LEFT(M344,4)</f>
        <v>6204</v>
      </c>
      <c r="B344" s="84" t="str">
        <f t="shared" si="5"/>
        <v>ПЛАТЬЕ Без товарного знака жен. Артикул 129241 цвет изумрудный р. 48</v>
      </c>
      <c r="C344" s="69" t="s">
        <v>1690</v>
      </c>
      <c r="D344" s="69" t="s">
        <v>55</v>
      </c>
      <c r="E344" s="92">
        <v>129241</v>
      </c>
      <c r="F344" s="69" t="s">
        <v>1691</v>
      </c>
      <c r="G344" s="72" t="s">
        <v>1698</v>
      </c>
      <c r="H344" s="69" t="s">
        <v>1692</v>
      </c>
      <c r="I344" s="69" t="s">
        <v>59</v>
      </c>
      <c r="J344" s="86">
        <v>48</v>
      </c>
      <c r="K344" s="89" t="s">
        <v>1763</v>
      </c>
      <c r="L344" s="89" t="s">
        <v>1763</v>
      </c>
      <c r="M344" s="73">
        <v>6204440000</v>
      </c>
      <c r="N344" s="7"/>
      <c r="O344" s="88" t="s">
        <v>59</v>
      </c>
      <c r="P344">
        <v>1</v>
      </c>
    </row>
    <row r="345" spans="1:16" customFormat="1" ht="15.75">
      <c r="A345" s="84" t="str">
        <f>LEFT(M345,4)</f>
        <v>6204</v>
      </c>
      <c r="B345" s="84" t="str">
        <f t="shared" si="5"/>
        <v>ПЛАТЬЕ Без товарного знака жен. Артикул 11632 цвет КАКАО р. 48</v>
      </c>
      <c r="C345" s="69" t="s">
        <v>1690</v>
      </c>
      <c r="D345" s="69" t="s">
        <v>55</v>
      </c>
      <c r="E345" s="92">
        <v>11632</v>
      </c>
      <c r="F345" s="69" t="s">
        <v>1691</v>
      </c>
      <c r="G345" s="75" t="s">
        <v>1764</v>
      </c>
      <c r="H345" s="69" t="s">
        <v>1692</v>
      </c>
      <c r="I345" s="69" t="s">
        <v>59</v>
      </c>
      <c r="J345" s="86">
        <v>48</v>
      </c>
      <c r="K345" s="89" t="s">
        <v>1765</v>
      </c>
      <c r="L345" s="89" t="s">
        <v>1765</v>
      </c>
      <c r="M345" s="73">
        <v>6204440000</v>
      </c>
      <c r="N345" s="7"/>
      <c r="O345" s="88" t="s">
        <v>94</v>
      </c>
      <c r="P345">
        <v>1</v>
      </c>
    </row>
    <row r="346" spans="1:16" customFormat="1" ht="15.75">
      <c r="A346" s="84" t="str">
        <f>LEFT(M346,4)</f>
        <v>6204</v>
      </c>
      <c r="B346" s="84" t="str">
        <f t="shared" si="5"/>
        <v>ПЛАТЬЕ Без товарного знака жен. Артикул 5509 цвет КОРИЧНЕВЫЙ р. 48</v>
      </c>
      <c r="C346" s="69" t="s">
        <v>1690</v>
      </c>
      <c r="D346" s="69" t="s">
        <v>55</v>
      </c>
      <c r="E346" s="92">
        <v>5509</v>
      </c>
      <c r="F346" s="69" t="s">
        <v>1691</v>
      </c>
      <c r="G346" s="72" t="s">
        <v>176</v>
      </c>
      <c r="H346" s="69" t="s">
        <v>1692</v>
      </c>
      <c r="I346" s="69" t="s">
        <v>59</v>
      </c>
      <c r="J346" s="86">
        <v>48</v>
      </c>
      <c r="K346" s="89" t="s">
        <v>1766</v>
      </c>
      <c r="L346" s="89" t="s">
        <v>1766</v>
      </c>
      <c r="M346" s="73">
        <v>6204440000</v>
      </c>
      <c r="N346" s="7"/>
      <c r="O346" s="88" t="s">
        <v>94</v>
      </c>
      <c r="P346">
        <v>1</v>
      </c>
    </row>
    <row r="347" spans="1:16" customFormat="1" ht="15.75">
      <c r="A347" s="84" t="str">
        <f>LEFT(M347,4)</f>
        <v>6204</v>
      </c>
      <c r="B347" s="84" t="str">
        <f t="shared" si="5"/>
        <v>ПЛАТЬЕ Без товарного знака жен. Артикул 5509 цвет КОРИЧНЕВЫЙ р. 50</v>
      </c>
      <c r="C347" s="69" t="s">
        <v>1690</v>
      </c>
      <c r="D347" s="69" t="s">
        <v>55</v>
      </c>
      <c r="E347" s="92">
        <v>5509</v>
      </c>
      <c r="F347" s="69" t="s">
        <v>1691</v>
      </c>
      <c r="G347" s="72" t="s">
        <v>176</v>
      </c>
      <c r="H347" s="69" t="s">
        <v>1692</v>
      </c>
      <c r="I347" s="69" t="s">
        <v>59</v>
      </c>
      <c r="J347" s="86">
        <v>50</v>
      </c>
      <c r="K347" s="89" t="s">
        <v>1766</v>
      </c>
      <c r="L347" s="89" t="s">
        <v>1766</v>
      </c>
      <c r="M347" s="73">
        <v>6204440000</v>
      </c>
      <c r="N347" s="7"/>
      <c r="O347" s="88" t="s">
        <v>94</v>
      </c>
      <c r="P347">
        <v>1</v>
      </c>
    </row>
    <row r="348" spans="1:16" customFormat="1" ht="15.75">
      <c r="A348" s="84" t="str">
        <f>LEFT(M348,4)</f>
        <v>6204</v>
      </c>
      <c r="B348" s="84" t="str">
        <f t="shared" si="5"/>
        <v>ПЛАТЬЕ Без товарного знака жен. Артикул 5509 цвет КОРИЧНЕВЫЙ р. 52</v>
      </c>
      <c r="C348" s="69" t="s">
        <v>1690</v>
      </c>
      <c r="D348" s="69" t="s">
        <v>55</v>
      </c>
      <c r="E348" s="92">
        <v>5509</v>
      </c>
      <c r="F348" s="69" t="s">
        <v>1691</v>
      </c>
      <c r="G348" s="72" t="s">
        <v>176</v>
      </c>
      <c r="H348" s="69" t="s">
        <v>1692</v>
      </c>
      <c r="I348" s="69" t="s">
        <v>59</v>
      </c>
      <c r="J348" s="86">
        <v>52</v>
      </c>
      <c r="K348" s="89" t="s">
        <v>1766</v>
      </c>
      <c r="L348" s="89" t="s">
        <v>1766</v>
      </c>
      <c r="M348" s="73">
        <v>6204440000</v>
      </c>
      <c r="N348" s="7"/>
      <c r="O348" s="88" t="s">
        <v>94</v>
      </c>
      <c r="P348">
        <v>1</v>
      </c>
    </row>
    <row r="349" spans="1:16" customFormat="1" ht="15.75">
      <c r="A349" s="84" t="str">
        <f>LEFT(M349,4)</f>
        <v>6204</v>
      </c>
      <c r="B349" s="84" t="str">
        <f t="shared" si="5"/>
        <v>ПЛАТЬЕ Без товарного знака жен. Артикул 3016 цвет ЧЕРНЫЙ р. 48</v>
      </c>
      <c r="C349" s="69" t="s">
        <v>1690</v>
      </c>
      <c r="D349" s="69" t="s">
        <v>55</v>
      </c>
      <c r="E349" s="92">
        <v>3016</v>
      </c>
      <c r="F349" s="69" t="s">
        <v>1691</v>
      </c>
      <c r="G349" s="72" t="s">
        <v>330</v>
      </c>
      <c r="H349" s="69" t="s">
        <v>1692</v>
      </c>
      <c r="I349" s="69" t="s">
        <v>59</v>
      </c>
      <c r="J349" s="86">
        <v>48</v>
      </c>
      <c r="K349" s="89" t="s">
        <v>1693</v>
      </c>
      <c r="L349" s="89" t="s">
        <v>1693</v>
      </c>
      <c r="M349" s="73">
        <v>6204430000</v>
      </c>
      <c r="N349" s="7"/>
      <c r="O349" s="88" t="s">
        <v>94</v>
      </c>
      <c r="P349">
        <v>1</v>
      </c>
    </row>
    <row r="350" spans="1:16" customFormat="1" ht="15.75">
      <c r="A350" s="84" t="str">
        <f>LEFT(M350,4)</f>
        <v>6204</v>
      </c>
      <c r="B350" s="84" t="str">
        <f t="shared" si="5"/>
        <v>ПЛАТЬЕ Без товарного знака жен. Артикул 3016 цвет ЧЕРНЫЙ р. 50</v>
      </c>
      <c r="C350" s="69" t="s">
        <v>1690</v>
      </c>
      <c r="D350" s="69" t="s">
        <v>55</v>
      </c>
      <c r="E350" s="92">
        <v>3016</v>
      </c>
      <c r="F350" s="69" t="s">
        <v>1691</v>
      </c>
      <c r="G350" s="72" t="s">
        <v>330</v>
      </c>
      <c r="H350" s="69" t="s">
        <v>1692</v>
      </c>
      <c r="I350" s="69" t="s">
        <v>59</v>
      </c>
      <c r="J350" s="86">
        <v>50</v>
      </c>
      <c r="K350" s="89" t="s">
        <v>1693</v>
      </c>
      <c r="L350" s="89" t="s">
        <v>1693</v>
      </c>
      <c r="M350" s="73">
        <v>6204430000</v>
      </c>
      <c r="N350" s="7"/>
      <c r="O350" s="88" t="s">
        <v>94</v>
      </c>
      <c r="P350">
        <v>1</v>
      </c>
    </row>
    <row r="351" spans="1:16" customFormat="1" ht="15.75">
      <c r="A351" s="84" t="str">
        <f>LEFT(M351,4)</f>
        <v>6204</v>
      </c>
      <c r="B351" s="84" t="str">
        <f t="shared" si="5"/>
        <v>ПЛАТЬЕ Без товарного знака жен. Артикул 3016 цвет ЧЕРНЫЙ р. 52</v>
      </c>
      <c r="C351" s="69" t="s">
        <v>1690</v>
      </c>
      <c r="D351" s="69" t="s">
        <v>55</v>
      </c>
      <c r="E351" s="92">
        <v>3016</v>
      </c>
      <c r="F351" s="69" t="s">
        <v>1691</v>
      </c>
      <c r="G351" s="72" t="s">
        <v>330</v>
      </c>
      <c r="H351" s="69" t="s">
        <v>1692</v>
      </c>
      <c r="I351" s="69" t="s">
        <v>59</v>
      </c>
      <c r="J351" s="86">
        <v>52</v>
      </c>
      <c r="K351" s="89" t="s">
        <v>1693</v>
      </c>
      <c r="L351" s="89" t="s">
        <v>1693</v>
      </c>
      <c r="M351" s="73">
        <v>6204430000</v>
      </c>
      <c r="N351" s="7"/>
      <c r="O351" s="88" t="s">
        <v>94</v>
      </c>
      <c r="P351">
        <v>1</v>
      </c>
    </row>
    <row r="352" spans="1:16" customFormat="1" ht="15.75">
      <c r="A352" s="84" t="str">
        <f>LEFT(M352,4)</f>
        <v>6204</v>
      </c>
      <c r="B352" s="84" t="str">
        <f t="shared" si="5"/>
        <v>ПЛАТЬЕ Без товарного знака жен. Артикул 3016 цвет ЧЕРНЫЙ р. 54</v>
      </c>
      <c r="C352" s="69" t="s">
        <v>1690</v>
      </c>
      <c r="D352" s="69" t="s">
        <v>55</v>
      </c>
      <c r="E352" s="92">
        <v>3016</v>
      </c>
      <c r="F352" s="69" t="s">
        <v>1691</v>
      </c>
      <c r="G352" s="72" t="s">
        <v>330</v>
      </c>
      <c r="H352" s="69" t="s">
        <v>1692</v>
      </c>
      <c r="I352" s="69" t="s">
        <v>59</v>
      </c>
      <c r="J352" s="86">
        <v>54</v>
      </c>
      <c r="K352" s="89" t="s">
        <v>1693</v>
      </c>
      <c r="L352" s="89" t="s">
        <v>1693</v>
      </c>
      <c r="M352" s="73">
        <v>6204430000</v>
      </c>
      <c r="N352" s="7"/>
      <c r="O352" s="88" t="s">
        <v>94</v>
      </c>
      <c r="P352">
        <v>1</v>
      </c>
    </row>
    <row r="353" spans="1:16" customFormat="1" ht="15.75">
      <c r="A353" s="84" t="str">
        <f>LEFT(M353,4)</f>
        <v>6204</v>
      </c>
      <c r="B353" s="84" t="str">
        <f t="shared" si="5"/>
        <v>ПЛАТЬЕ Без товарного знака жен. Артикул 5836 цвет ЧЕРНЫЙ р. 48</v>
      </c>
      <c r="C353" s="69" t="s">
        <v>1690</v>
      </c>
      <c r="D353" s="69" t="s">
        <v>55</v>
      </c>
      <c r="E353" s="92">
        <v>5836</v>
      </c>
      <c r="F353" s="69" t="s">
        <v>1691</v>
      </c>
      <c r="G353" s="72" t="s">
        <v>330</v>
      </c>
      <c r="H353" s="69" t="s">
        <v>1692</v>
      </c>
      <c r="I353" s="69" t="s">
        <v>59</v>
      </c>
      <c r="J353" s="86">
        <v>48</v>
      </c>
      <c r="K353" s="89" t="s">
        <v>1693</v>
      </c>
      <c r="L353" s="89" t="s">
        <v>1693</v>
      </c>
      <c r="M353" s="73">
        <v>6204430000</v>
      </c>
      <c r="N353" s="7"/>
      <c r="O353" s="88" t="s">
        <v>94</v>
      </c>
      <c r="P353">
        <v>1</v>
      </c>
    </row>
    <row r="354" spans="1:16" customFormat="1" ht="15.75">
      <c r="A354" s="84" t="str">
        <f>LEFT(M354,4)</f>
        <v>6204</v>
      </c>
      <c r="B354" s="84" t="str">
        <f t="shared" si="5"/>
        <v>ПЛАТЬЕ Без товарного знака жен. Артикул 5836 цвет ЧЕРНЫЙ р. 50</v>
      </c>
      <c r="C354" s="69" t="s">
        <v>1690</v>
      </c>
      <c r="D354" s="69" t="s">
        <v>55</v>
      </c>
      <c r="E354" s="92">
        <v>5836</v>
      </c>
      <c r="F354" s="69" t="s">
        <v>1691</v>
      </c>
      <c r="G354" s="72" t="s">
        <v>330</v>
      </c>
      <c r="H354" s="69" t="s">
        <v>1692</v>
      </c>
      <c r="I354" s="69" t="s">
        <v>59</v>
      </c>
      <c r="J354" s="86">
        <v>50</v>
      </c>
      <c r="K354" s="89" t="s">
        <v>1693</v>
      </c>
      <c r="L354" s="89" t="s">
        <v>1693</v>
      </c>
      <c r="M354" s="73">
        <v>6204430000</v>
      </c>
      <c r="N354" s="7"/>
      <c r="O354" s="88" t="s">
        <v>94</v>
      </c>
      <c r="P354">
        <v>1</v>
      </c>
    </row>
    <row r="355" spans="1:16" customFormat="1" ht="15.75">
      <c r="A355" s="84" t="str">
        <f>LEFT(M355,4)</f>
        <v>6204</v>
      </c>
      <c r="B355" s="84" t="str">
        <f t="shared" si="5"/>
        <v>ПЛАТЬЕ Без товарного знака жен. Артикул 2656 цвет ФИОЛЕТОВЫЙ р. 48</v>
      </c>
      <c r="C355" s="69" t="s">
        <v>1690</v>
      </c>
      <c r="D355" s="69" t="s">
        <v>55</v>
      </c>
      <c r="E355" s="92">
        <v>2656</v>
      </c>
      <c r="F355" s="69" t="s">
        <v>1691</v>
      </c>
      <c r="G355" s="72" t="s">
        <v>318</v>
      </c>
      <c r="H355" s="69" t="s">
        <v>1692</v>
      </c>
      <c r="I355" s="69" t="s">
        <v>59</v>
      </c>
      <c r="J355" s="86">
        <v>48</v>
      </c>
      <c r="K355" s="89" t="s">
        <v>1693</v>
      </c>
      <c r="L355" s="89" t="s">
        <v>1693</v>
      </c>
      <c r="M355" s="73">
        <v>6204430000</v>
      </c>
      <c r="N355" s="7"/>
      <c r="O355" s="88" t="s">
        <v>94</v>
      </c>
      <c r="P355">
        <v>1</v>
      </c>
    </row>
    <row r="356" spans="1:16" customFormat="1" ht="15.75">
      <c r="A356" s="84" t="str">
        <f>LEFT(M356,4)</f>
        <v>6204</v>
      </c>
      <c r="B356" s="84" t="str">
        <f t="shared" si="5"/>
        <v>ПЛАТЬЕ Без товарного знака жен. Артикул 101051 цвет ТЕМНО-СИНИЙ р. 48</v>
      </c>
      <c r="C356" s="69" t="s">
        <v>1690</v>
      </c>
      <c r="D356" s="69" t="s">
        <v>55</v>
      </c>
      <c r="E356" s="92">
        <v>101051</v>
      </c>
      <c r="F356" s="69" t="s">
        <v>1691</v>
      </c>
      <c r="G356" s="72" t="s">
        <v>309</v>
      </c>
      <c r="H356" s="69" t="s">
        <v>1692</v>
      </c>
      <c r="I356" s="69" t="s">
        <v>59</v>
      </c>
      <c r="J356" s="86">
        <v>48</v>
      </c>
      <c r="K356" s="89" t="s">
        <v>1767</v>
      </c>
      <c r="L356" s="89" t="s">
        <v>1767</v>
      </c>
      <c r="M356" s="73">
        <v>6204440000</v>
      </c>
      <c r="N356" s="7"/>
      <c r="O356" s="88" t="s">
        <v>59</v>
      </c>
      <c r="P356">
        <v>1</v>
      </c>
    </row>
    <row r="357" spans="1:16" customFormat="1" ht="15.75">
      <c r="A357" s="84" t="str">
        <f>LEFT(M357,4)</f>
        <v>6204</v>
      </c>
      <c r="B357" s="84" t="str">
        <f t="shared" si="5"/>
        <v>ПЛАТЬЕ Без товарного знака жен. Артикул 115341 цвет ТЕМНО-СИНИЙ р. 48</v>
      </c>
      <c r="C357" s="69" t="s">
        <v>1690</v>
      </c>
      <c r="D357" s="69" t="s">
        <v>55</v>
      </c>
      <c r="E357" s="92">
        <v>115341</v>
      </c>
      <c r="F357" s="69" t="s">
        <v>1691</v>
      </c>
      <c r="G357" s="72" t="s">
        <v>309</v>
      </c>
      <c r="H357" s="69" t="s">
        <v>1692</v>
      </c>
      <c r="I357" s="69" t="s">
        <v>59</v>
      </c>
      <c r="J357" s="86">
        <v>48</v>
      </c>
      <c r="K357" s="89" t="s">
        <v>1768</v>
      </c>
      <c r="L357" s="89" t="s">
        <v>1768</v>
      </c>
      <c r="M357" s="73">
        <v>6204430000</v>
      </c>
      <c r="N357" s="7"/>
      <c r="O357" s="88" t="s">
        <v>59</v>
      </c>
      <c r="P357">
        <v>1</v>
      </c>
    </row>
    <row r="358" spans="1:16" customFormat="1" ht="15.75">
      <c r="A358" s="84" t="str">
        <f>LEFT(M358,4)</f>
        <v>6204</v>
      </c>
      <c r="B358" s="84" t="str">
        <f t="shared" si="5"/>
        <v>ПЛАТЬЕ Без товарного знака жен. Артикул 7536 цвет ЧЕРНЫЙ р. 48</v>
      </c>
      <c r="C358" s="69" t="s">
        <v>1690</v>
      </c>
      <c r="D358" s="69" t="s">
        <v>55</v>
      </c>
      <c r="E358" s="92">
        <v>7536</v>
      </c>
      <c r="F358" s="69" t="s">
        <v>1691</v>
      </c>
      <c r="G358" s="72" t="s">
        <v>330</v>
      </c>
      <c r="H358" s="69" t="s">
        <v>1692</v>
      </c>
      <c r="I358" s="69" t="s">
        <v>59</v>
      </c>
      <c r="J358" s="86">
        <v>48</v>
      </c>
      <c r="K358" s="89" t="s">
        <v>1693</v>
      </c>
      <c r="L358" s="89" t="s">
        <v>1693</v>
      </c>
      <c r="M358" s="73">
        <v>6204430000</v>
      </c>
      <c r="N358" s="7"/>
      <c r="O358" s="88" t="s">
        <v>94</v>
      </c>
      <c r="P358">
        <v>1</v>
      </c>
    </row>
    <row r="359" spans="1:16" customFormat="1" ht="15.75">
      <c r="A359" s="84" t="str">
        <f>LEFT(M359,4)</f>
        <v>6204</v>
      </c>
      <c r="B359" s="84" t="str">
        <f t="shared" si="5"/>
        <v>ПЛАТЬЕ Без товарного знака жен. Артикул 7536 цвет ЧЕРНЫЙ р. 44</v>
      </c>
      <c r="C359" s="69" t="s">
        <v>1690</v>
      </c>
      <c r="D359" s="69" t="s">
        <v>55</v>
      </c>
      <c r="E359" s="92">
        <v>7536</v>
      </c>
      <c r="F359" s="69" t="s">
        <v>1691</v>
      </c>
      <c r="G359" s="72" t="s">
        <v>330</v>
      </c>
      <c r="H359" s="69" t="s">
        <v>1692</v>
      </c>
      <c r="I359" s="69" t="s">
        <v>59</v>
      </c>
      <c r="J359" s="86">
        <v>44</v>
      </c>
      <c r="K359" s="89" t="s">
        <v>1693</v>
      </c>
      <c r="L359" s="89" t="s">
        <v>1693</v>
      </c>
      <c r="M359" s="73">
        <v>6204430000</v>
      </c>
      <c r="N359" s="7"/>
      <c r="O359" s="88" t="s">
        <v>94</v>
      </c>
      <c r="P359">
        <v>1</v>
      </c>
    </row>
    <row r="360" spans="1:16" customFormat="1" ht="15.75">
      <c r="A360" s="84" t="str">
        <f>LEFT(M360,4)</f>
        <v>6204</v>
      </c>
      <c r="B360" s="84" t="str">
        <f t="shared" si="5"/>
        <v>ПЛАТЬЕ Без товарного знака жен. Артикул 7323 цвет БЕЖЕВЫЙ р. 48</v>
      </c>
      <c r="C360" s="69" t="s">
        <v>1690</v>
      </c>
      <c r="D360" s="69" t="s">
        <v>55</v>
      </c>
      <c r="E360" s="92">
        <v>7323</v>
      </c>
      <c r="F360" s="69" t="s">
        <v>1691</v>
      </c>
      <c r="G360" s="72" t="s">
        <v>57</v>
      </c>
      <c r="H360" s="69" t="s">
        <v>1692</v>
      </c>
      <c r="I360" s="69" t="s">
        <v>59</v>
      </c>
      <c r="J360" s="86">
        <v>48</v>
      </c>
      <c r="K360" s="89" t="s">
        <v>1693</v>
      </c>
      <c r="L360" s="89" t="s">
        <v>1693</v>
      </c>
      <c r="M360" s="73">
        <v>6204430000</v>
      </c>
      <c r="N360" s="7"/>
      <c r="O360" s="88" t="s">
        <v>1752</v>
      </c>
      <c r="P360">
        <v>1</v>
      </c>
    </row>
    <row r="361" spans="1:16" customFormat="1" ht="15.75">
      <c r="A361" s="84" t="str">
        <f>LEFT(M361,4)</f>
        <v>6204</v>
      </c>
      <c r="B361" s="84" t="str">
        <f t="shared" si="5"/>
        <v>ПЛАТЬЕ Без товарного знака жен. Артикул 7323 цвет БЕЖЕВЫЙ р. 50</v>
      </c>
      <c r="C361" s="69" t="s">
        <v>1690</v>
      </c>
      <c r="D361" s="69" t="s">
        <v>55</v>
      </c>
      <c r="E361" s="92">
        <v>7323</v>
      </c>
      <c r="F361" s="69" t="s">
        <v>1691</v>
      </c>
      <c r="G361" s="72" t="s">
        <v>57</v>
      </c>
      <c r="H361" s="69" t="s">
        <v>1692</v>
      </c>
      <c r="I361" s="69" t="s">
        <v>59</v>
      </c>
      <c r="J361" s="86">
        <v>50</v>
      </c>
      <c r="K361" s="89" t="s">
        <v>1693</v>
      </c>
      <c r="L361" s="89" t="s">
        <v>1693</v>
      </c>
      <c r="M361" s="73">
        <v>6204430000</v>
      </c>
      <c r="N361" s="7"/>
      <c r="O361" s="88" t="s">
        <v>1752</v>
      </c>
      <c r="P361">
        <v>1</v>
      </c>
    </row>
    <row r="362" spans="1:16" customFormat="1" ht="15.75">
      <c r="A362" s="84" t="str">
        <f>LEFT(M362,4)</f>
        <v>6204</v>
      </c>
      <c r="B362" s="84" t="str">
        <f t="shared" si="5"/>
        <v>ПЛАТЬЕ Без товарного знака жен. Артикул 7323 цвет БЕЖЕВЫЙ р. 54</v>
      </c>
      <c r="C362" s="69" t="s">
        <v>1690</v>
      </c>
      <c r="D362" s="69" t="s">
        <v>55</v>
      </c>
      <c r="E362" s="92">
        <v>7323</v>
      </c>
      <c r="F362" s="69" t="s">
        <v>1691</v>
      </c>
      <c r="G362" s="72" t="s">
        <v>57</v>
      </c>
      <c r="H362" s="69" t="s">
        <v>1692</v>
      </c>
      <c r="I362" s="69" t="s">
        <v>59</v>
      </c>
      <c r="J362" s="86">
        <v>54</v>
      </c>
      <c r="K362" s="89" t="s">
        <v>1693</v>
      </c>
      <c r="L362" s="89" t="s">
        <v>1693</v>
      </c>
      <c r="M362" s="73">
        <v>6204430000</v>
      </c>
      <c r="N362" s="7"/>
      <c r="O362" s="88" t="s">
        <v>1752</v>
      </c>
      <c r="P362">
        <v>1</v>
      </c>
    </row>
    <row r="363" spans="1:16" customFormat="1" ht="15.75">
      <c r="A363" s="84" t="str">
        <f>LEFT(M363,4)</f>
        <v>6204</v>
      </c>
      <c r="B363" s="84" t="str">
        <f t="shared" ref="B363:B430" si="6">CONCATENATE(F363," ", C363," ",H363," ",D363," ", E363, " цвет ", G363, " р. ", J363)</f>
        <v>ПЛАТЬЕ Без товарного знака жен. Артикул 125241 цвет БЕЖЕВЫЙ р. 48</v>
      </c>
      <c r="C363" s="69" t="s">
        <v>1690</v>
      </c>
      <c r="D363" s="69" t="s">
        <v>55</v>
      </c>
      <c r="E363" s="92">
        <v>125241</v>
      </c>
      <c r="F363" s="69" t="s">
        <v>1691</v>
      </c>
      <c r="G363" s="72" t="s">
        <v>57</v>
      </c>
      <c r="H363" s="69" t="s">
        <v>1692</v>
      </c>
      <c r="I363" s="69" t="s">
        <v>59</v>
      </c>
      <c r="J363" s="86">
        <v>48</v>
      </c>
      <c r="K363" s="89" t="s">
        <v>1769</v>
      </c>
      <c r="L363" s="89" t="s">
        <v>1769</v>
      </c>
      <c r="M363" s="73">
        <v>6204440000</v>
      </c>
      <c r="N363" s="7"/>
      <c r="O363" s="88" t="s">
        <v>59</v>
      </c>
      <c r="P363">
        <v>1</v>
      </c>
    </row>
    <row r="364" spans="1:16" customFormat="1" ht="15.75">
      <c r="A364" s="84" t="str">
        <f>LEFT(M364,4)</f>
        <v>6204</v>
      </c>
      <c r="B364" s="84" t="str">
        <f t="shared" si="6"/>
        <v>ПЛАТЬЕ Без товарного знака жен. Артикул 115100 цвет БЕЖЕВЫЙ р. 48</v>
      </c>
      <c r="C364" s="69" t="s">
        <v>1690</v>
      </c>
      <c r="D364" s="69" t="s">
        <v>55</v>
      </c>
      <c r="E364" s="92">
        <v>115100</v>
      </c>
      <c r="F364" s="69" t="s">
        <v>1691</v>
      </c>
      <c r="G364" s="72" t="s">
        <v>57</v>
      </c>
      <c r="H364" s="69" t="s">
        <v>1692</v>
      </c>
      <c r="I364" s="69" t="s">
        <v>59</v>
      </c>
      <c r="J364" s="86">
        <v>48</v>
      </c>
      <c r="K364" s="89" t="s">
        <v>1770</v>
      </c>
      <c r="L364" s="89" t="s">
        <v>1770</v>
      </c>
      <c r="M364" s="73">
        <v>6204430000</v>
      </c>
      <c r="N364" s="7"/>
      <c r="O364" s="88" t="s">
        <v>59</v>
      </c>
      <c r="P364">
        <v>1</v>
      </c>
    </row>
    <row r="365" spans="1:16" customFormat="1" ht="15.75">
      <c r="A365" s="84" t="str">
        <f>LEFT(M365,4)</f>
        <v>6204</v>
      </c>
      <c r="B365" s="84" t="str">
        <f t="shared" si="6"/>
        <v>ПЛАТЬЕ Без товарного знака жен. Артикул 104 цвет АНТРАЦИТ р. 48</v>
      </c>
      <c r="C365" s="69" t="s">
        <v>1690</v>
      </c>
      <c r="D365" s="69" t="s">
        <v>55</v>
      </c>
      <c r="E365" s="92">
        <v>104</v>
      </c>
      <c r="F365" s="69" t="s">
        <v>1691</v>
      </c>
      <c r="G365" s="75" t="s">
        <v>1771</v>
      </c>
      <c r="H365" s="69" t="s">
        <v>1692</v>
      </c>
      <c r="I365" s="69" t="s">
        <v>59</v>
      </c>
      <c r="J365" s="86">
        <v>48</v>
      </c>
      <c r="K365" s="89" t="s">
        <v>1772</v>
      </c>
      <c r="L365" s="89" t="s">
        <v>1772</v>
      </c>
      <c r="M365" s="73">
        <v>6204430000</v>
      </c>
      <c r="N365" s="7"/>
      <c r="O365" s="88" t="s">
        <v>94</v>
      </c>
      <c r="P365">
        <v>1</v>
      </c>
    </row>
    <row r="366" spans="1:16" customFormat="1" ht="15.75">
      <c r="A366" s="84" t="str">
        <f>LEFT(M366,4)</f>
        <v>6204</v>
      </c>
      <c r="B366" s="84" t="str">
        <f t="shared" si="6"/>
        <v>ПЛАТЬЕ Без товарного знака жен. Артикул 7105 цвет БИРЮЗОВЫЙ р. 48</v>
      </c>
      <c r="C366" s="69" t="s">
        <v>1690</v>
      </c>
      <c r="D366" s="69" t="s">
        <v>55</v>
      </c>
      <c r="E366" s="92">
        <v>7105</v>
      </c>
      <c r="F366" s="69" t="s">
        <v>1691</v>
      </c>
      <c r="G366" s="72" t="s">
        <v>111</v>
      </c>
      <c r="H366" s="69" t="s">
        <v>1692</v>
      </c>
      <c r="I366" s="69" t="s">
        <v>59</v>
      </c>
      <c r="J366" s="86">
        <v>48</v>
      </c>
      <c r="K366" s="89" t="s">
        <v>1772</v>
      </c>
      <c r="L366" s="89" t="s">
        <v>1772</v>
      </c>
      <c r="M366" s="73">
        <v>6204430000</v>
      </c>
      <c r="N366" s="7"/>
      <c r="O366" s="88" t="s">
        <v>94</v>
      </c>
      <c r="P366">
        <v>1</v>
      </c>
    </row>
    <row r="367" spans="1:16" customFormat="1" ht="15.75">
      <c r="A367" s="84" t="str">
        <f>LEFT(M367,4)</f>
        <v>6204</v>
      </c>
      <c r="B367" s="84" t="str">
        <f t="shared" si="6"/>
        <v>ПЛАТЬЕ Без товарного знака жен. Артикул 1365 цвет БИРЮЗОВЫЙ р. 48</v>
      </c>
      <c r="C367" s="69" t="s">
        <v>1690</v>
      </c>
      <c r="D367" s="69" t="s">
        <v>55</v>
      </c>
      <c r="E367" s="92">
        <v>1365</v>
      </c>
      <c r="F367" s="69" t="s">
        <v>1691</v>
      </c>
      <c r="G367" s="72" t="s">
        <v>111</v>
      </c>
      <c r="H367" s="69" t="s">
        <v>1692</v>
      </c>
      <c r="I367" s="69" t="s">
        <v>59</v>
      </c>
      <c r="J367" s="86">
        <v>48</v>
      </c>
      <c r="K367" s="89" t="s">
        <v>1773</v>
      </c>
      <c r="L367" s="89" t="s">
        <v>1773</v>
      </c>
      <c r="M367" s="73">
        <v>6204430000</v>
      </c>
      <c r="N367" s="7"/>
      <c r="O367" s="88" t="s">
        <v>94</v>
      </c>
      <c r="P367">
        <v>1</v>
      </c>
    </row>
    <row r="368" spans="1:16" customFormat="1" ht="15.75">
      <c r="A368" s="84" t="str">
        <f>LEFT(M368,4)</f>
        <v>6204</v>
      </c>
      <c r="B368" s="84" t="str">
        <f t="shared" si="6"/>
        <v>ПЛАТЬЕ Без товарного знака жен. Артикул 1365 цвет БИРЮЗОВЫЙ р. 50</v>
      </c>
      <c r="C368" s="69" t="s">
        <v>1690</v>
      </c>
      <c r="D368" s="69" t="s">
        <v>55</v>
      </c>
      <c r="E368" s="92">
        <v>1365</v>
      </c>
      <c r="F368" s="69" t="s">
        <v>1691</v>
      </c>
      <c r="G368" s="72" t="s">
        <v>111</v>
      </c>
      <c r="H368" s="69" t="s">
        <v>1692</v>
      </c>
      <c r="I368" s="69" t="s">
        <v>59</v>
      </c>
      <c r="J368" s="86">
        <v>50</v>
      </c>
      <c r="K368" s="89" t="s">
        <v>1773</v>
      </c>
      <c r="L368" s="89" t="s">
        <v>1773</v>
      </c>
      <c r="M368" s="73">
        <v>6204430000</v>
      </c>
      <c r="N368" s="7"/>
      <c r="O368" s="88" t="s">
        <v>94</v>
      </c>
      <c r="P368">
        <v>1</v>
      </c>
    </row>
    <row r="369" spans="1:16" customFormat="1" ht="15.75">
      <c r="A369" s="84" t="str">
        <f>LEFT(M369,4)</f>
        <v>6204</v>
      </c>
      <c r="B369" s="84" t="str">
        <f t="shared" si="6"/>
        <v>ПЛАТЬЕ Без товарного знака жен. Артикул 1365 цвет БИРЮЗОВЫЙ р. 52</v>
      </c>
      <c r="C369" s="69" t="s">
        <v>1690</v>
      </c>
      <c r="D369" s="69" t="s">
        <v>55</v>
      </c>
      <c r="E369" s="92">
        <v>1365</v>
      </c>
      <c r="F369" s="69" t="s">
        <v>1691</v>
      </c>
      <c r="G369" s="72" t="s">
        <v>111</v>
      </c>
      <c r="H369" s="69" t="s">
        <v>1692</v>
      </c>
      <c r="I369" s="69" t="s">
        <v>59</v>
      </c>
      <c r="J369" s="86">
        <v>52</v>
      </c>
      <c r="K369" s="89" t="s">
        <v>1773</v>
      </c>
      <c r="L369" s="89" t="s">
        <v>1773</v>
      </c>
      <c r="M369" s="73">
        <v>6204430000</v>
      </c>
      <c r="N369" s="7"/>
      <c r="O369" s="88" t="s">
        <v>94</v>
      </c>
      <c r="P369">
        <v>1</v>
      </c>
    </row>
    <row r="370" spans="1:16" customFormat="1" ht="15.75">
      <c r="A370" s="84" t="str">
        <f>LEFT(M370,4)</f>
        <v>6204</v>
      </c>
      <c r="B370" s="84" t="str">
        <f t="shared" si="6"/>
        <v>ПЛАТЬЕ Без товарного знака жен. Артикул 992 цвет ПУДРА р. 48</v>
      </c>
      <c r="C370" s="69" t="s">
        <v>1690</v>
      </c>
      <c r="D370" s="69" t="s">
        <v>55</v>
      </c>
      <c r="E370" s="92">
        <v>992</v>
      </c>
      <c r="F370" s="69" t="s">
        <v>1691</v>
      </c>
      <c r="G370" s="75" t="s">
        <v>1774</v>
      </c>
      <c r="H370" s="69" t="s">
        <v>1692</v>
      </c>
      <c r="I370" s="69" t="s">
        <v>59</v>
      </c>
      <c r="J370" s="86">
        <v>48</v>
      </c>
      <c r="K370" s="89" t="s">
        <v>1772</v>
      </c>
      <c r="L370" s="89" t="s">
        <v>1772</v>
      </c>
      <c r="M370" s="73">
        <v>6204430000</v>
      </c>
      <c r="N370" s="7"/>
      <c r="O370" s="88" t="s">
        <v>94</v>
      </c>
      <c r="P370">
        <v>1</v>
      </c>
    </row>
    <row r="371" spans="1:16" customFormat="1" ht="15.75">
      <c r="A371" s="84" t="str">
        <f>LEFT(M371,4)</f>
        <v>6204</v>
      </c>
      <c r="B371" s="84" t="str">
        <f t="shared" si="6"/>
        <v>ПЛАТЬЕ Без товарного знака жен. Артикул 4468 цвет ПУДРА р. 48</v>
      </c>
      <c r="C371" s="69" t="s">
        <v>1690</v>
      </c>
      <c r="D371" s="69" t="s">
        <v>55</v>
      </c>
      <c r="E371" s="92">
        <v>4468</v>
      </c>
      <c r="F371" s="69" t="s">
        <v>1691</v>
      </c>
      <c r="G371" s="75" t="s">
        <v>1774</v>
      </c>
      <c r="H371" s="69" t="s">
        <v>1692</v>
      </c>
      <c r="I371" s="69" t="s">
        <v>59</v>
      </c>
      <c r="J371" s="86">
        <v>48</v>
      </c>
      <c r="K371" s="89" t="s">
        <v>1772</v>
      </c>
      <c r="L371" s="89" t="s">
        <v>1772</v>
      </c>
      <c r="M371" s="73">
        <v>6204430000</v>
      </c>
      <c r="N371" s="7"/>
      <c r="O371" s="88" t="s">
        <v>94</v>
      </c>
      <c r="P371">
        <v>1</v>
      </c>
    </row>
    <row r="372" spans="1:16" customFormat="1" ht="15.75">
      <c r="A372" s="84" t="str">
        <f>LEFT(M372,4)</f>
        <v>6204</v>
      </c>
      <c r="B372" s="84" t="str">
        <f t="shared" si="6"/>
        <v>ПЛАТЬЕ Без товарного знака жен. Артикул 124100 цвет персиковый р. 48</v>
      </c>
      <c r="C372" s="69" t="s">
        <v>1690</v>
      </c>
      <c r="D372" s="69" t="s">
        <v>55</v>
      </c>
      <c r="E372" s="92">
        <v>124100</v>
      </c>
      <c r="F372" s="69" t="s">
        <v>1691</v>
      </c>
      <c r="G372" s="72" t="s">
        <v>1775</v>
      </c>
      <c r="H372" s="69" t="s">
        <v>1692</v>
      </c>
      <c r="I372" s="69" t="s">
        <v>59</v>
      </c>
      <c r="J372" s="86">
        <v>48</v>
      </c>
      <c r="K372" s="89" t="s">
        <v>1776</v>
      </c>
      <c r="L372" s="89" t="s">
        <v>1776</v>
      </c>
      <c r="M372" s="73">
        <v>6204430000</v>
      </c>
      <c r="N372" s="7"/>
      <c r="O372" s="88" t="s">
        <v>59</v>
      </c>
      <c r="P372">
        <v>1</v>
      </c>
    </row>
    <row r="373" spans="1:16" customFormat="1" ht="15.75">
      <c r="A373" s="84" t="str">
        <f>LEFT(M373,4)</f>
        <v>6204</v>
      </c>
      <c r="B373" s="84" t="str">
        <f t="shared" si="6"/>
        <v>ПЛАТЬЕ Без товарного знака жен. Артикул 47032 цвет ЖЕЛТЫЙ р. 48</v>
      </c>
      <c r="C373" s="69" t="s">
        <v>1690</v>
      </c>
      <c r="D373" s="69" t="s">
        <v>55</v>
      </c>
      <c r="E373" s="92">
        <v>47032</v>
      </c>
      <c r="F373" s="69" t="s">
        <v>1691</v>
      </c>
      <c r="G373" s="72" t="s">
        <v>348</v>
      </c>
      <c r="H373" s="69" t="s">
        <v>1692</v>
      </c>
      <c r="I373" s="69" t="s">
        <v>59</v>
      </c>
      <c r="J373" s="86">
        <v>48</v>
      </c>
      <c r="K373" s="89" t="s">
        <v>1693</v>
      </c>
      <c r="L373" s="89" t="s">
        <v>1693</v>
      </c>
      <c r="M373" s="73">
        <v>6204430000</v>
      </c>
      <c r="N373" s="7"/>
      <c r="O373" s="88" t="s">
        <v>94</v>
      </c>
      <c r="P373">
        <v>1</v>
      </c>
    </row>
    <row r="374" spans="1:16" customFormat="1" ht="15.75">
      <c r="A374" s="84" t="str">
        <f>LEFT(M374,4)</f>
        <v>6204</v>
      </c>
      <c r="B374" s="84" t="str">
        <f t="shared" si="6"/>
        <v>ПЛАТЬЕ Без товарного знака жен. Артикул 47032 цвет ЖЕЛТЫЙ р. 44</v>
      </c>
      <c r="C374" s="69" t="s">
        <v>1690</v>
      </c>
      <c r="D374" s="69" t="s">
        <v>55</v>
      </c>
      <c r="E374" s="92">
        <v>47032</v>
      </c>
      <c r="F374" s="69" t="s">
        <v>1691</v>
      </c>
      <c r="G374" s="72" t="s">
        <v>348</v>
      </c>
      <c r="H374" s="69" t="s">
        <v>1692</v>
      </c>
      <c r="I374" s="69" t="s">
        <v>59</v>
      </c>
      <c r="J374" s="86">
        <v>44</v>
      </c>
      <c r="K374" s="89" t="s">
        <v>1693</v>
      </c>
      <c r="L374" s="89" t="s">
        <v>1693</v>
      </c>
      <c r="M374" s="73">
        <v>6204430000</v>
      </c>
      <c r="N374" s="7"/>
      <c r="O374" s="88" t="s">
        <v>94</v>
      </c>
      <c r="P374">
        <v>1</v>
      </c>
    </row>
    <row r="375" spans="1:16" customFormat="1" ht="15.75">
      <c r="A375" s="84" t="str">
        <f>LEFT(M375,4)</f>
        <v>6204</v>
      </c>
      <c r="B375" s="84" t="str">
        <f t="shared" si="6"/>
        <v>ПЛАТЬЕ Без товарного знака жен. Артикул 47032 цвет ЖЕЛТЫЙ р. 46</v>
      </c>
      <c r="C375" s="69" t="s">
        <v>1690</v>
      </c>
      <c r="D375" s="69" t="s">
        <v>55</v>
      </c>
      <c r="E375" s="92">
        <v>47032</v>
      </c>
      <c r="F375" s="69" t="s">
        <v>1691</v>
      </c>
      <c r="G375" s="72" t="s">
        <v>348</v>
      </c>
      <c r="H375" s="69" t="s">
        <v>1692</v>
      </c>
      <c r="I375" s="69" t="s">
        <v>59</v>
      </c>
      <c r="J375" s="86">
        <v>46</v>
      </c>
      <c r="K375" s="89" t="s">
        <v>1693</v>
      </c>
      <c r="L375" s="89" t="s">
        <v>1693</v>
      </c>
      <c r="M375" s="73">
        <v>6204430000</v>
      </c>
      <c r="N375" s="7"/>
      <c r="O375" s="88" t="s">
        <v>94</v>
      </c>
      <c r="P375">
        <v>1</v>
      </c>
    </row>
    <row r="376" spans="1:16" customFormat="1" ht="15.75">
      <c r="A376" s="84" t="str">
        <f>LEFT(M376,4)</f>
        <v>6204</v>
      </c>
      <c r="B376" s="84" t="str">
        <f t="shared" si="6"/>
        <v>ПЛАТЬЕ Без товарного знака жен. Артикул 5932 цвет КОРАЛЛОВЫЙ р. 48</v>
      </c>
      <c r="C376" s="69" t="s">
        <v>1690</v>
      </c>
      <c r="D376" s="69" t="s">
        <v>55</v>
      </c>
      <c r="E376" s="92">
        <v>5932</v>
      </c>
      <c r="F376" s="69" t="s">
        <v>1691</v>
      </c>
      <c r="G376" s="72" t="s">
        <v>172</v>
      </c>
      <c r="H376" s="69" t="s">
        <v>1692</v>
      </c>
      <c r="I376" s="69" t="s">
        <v>59</v>
      </c>
      <c r="J376" s="86">
        <v>48</v>
      </c>
      <c r="K376" s="89" t="s">
        <v>1738</v>
      </c>
      <c r="L376" s="89" t="s">
        <v>1738</v>
      </c>
      <c r="M376" s="73">
        <v>6204420000</v>
      </c>
      <c r="N376" s="7"/>
      <c r="O376" s="88" t="s">
        <v>94</v>
      </c>
      <c r="P376">
        <v>1</v>
      </c>
    </row>
    <row r="377" spans="1:16" customFormat="1" ht="15.75">
      <c r="A377" s="84" t="str">
        <f>LEFT(M377,4)</f>
        <v>6204</v>
      </c>
      <c r="B377" s="84" t="str">
        <f t="shared" si="6"/>
        <v>ПЛАТЬЕ Без товарного знака жен. Артикул 5932 цвет КОРАЛЛОВЫЙ р. 50</v>
      </c>
      <c r="C377" s="69" t="s">
        <v>1690</v>
      </c>
      <c r="D377" s="69" t="s">
        <v>55</v>
      </c>
      <c r="E377" s="92">
        <v>5932</v>
      </c>
      <c r="F377" s="69" t="s">
        <v>1691</v>
      </c>
      <c r="G377" s="72" t="s">
        <v>172</v>
      </c>
      <c r="H377" s="69" t="s">
        <v>1692</v>
      </c>
      <c r="I377" s="69" t="s">
        <v>59</v>
      </c>
      <c r="J377" s="86">
        <v>50</v>
      </c>
      <c r="K377" s="89" t="s">
        <v>1738</v>
      </c>
      <c r="L377" s="89" t="s">
        <v>1738</v>
      </c>
      <c r="M377" s="73">
        <v>6204420000</v>
      </c>
      <c r="N377" s="7"/>
      <c r="O377" s="88" t="s">
        <v>94</v>
      </c>
      <c r="P377">
        <v>1</v>
      </c>
    </row>
    <row r="378" spans="1:16" customFormat="1" ht="15.75">
      <c r="A378" s="84" t="str">
        <f>LEFT(M378,4)</f>
        <v>6204</v>
      </c>
      <c r="B378" s="84" t="str">
        <f t="shared" si="6"/>
        <v>ПЛАТЬЕ Без товарного знака жен. Артикул 5932 цвет КОРАЛЛОВЫЙ р. 52</v>
      </c>
      <c r="C378" s="69" t="s">
        <v>1690</v>
      </c>
      <c r="D378" s="69" t="s">
        <v>55</v>
      </c>
      <c r="E378" s="92">
        <v>5932</v>
      </c>
      <c r="F378" s="69" t="s">
        <v>1691</v>
      </c>
      <c r="G378" s="72" t="s">
        <v>172</v>
      </c>
      <c r="H378" s="69" t="s">
        <v>1692</v>
      </c>
      <c r="I378" s="69" t="s">
        <v>59</v>
      </c>
      <c r="J378" s="86">
        <v>52</v>
      </c>
      <c r="K378" s="89" t="s">
        <v>1738</v>
      </c>
      <c r="L378" s="89" t="s">
        <v>1738</v>
      </c>
      <c r="M378" s="73">
        <v>6204420000</v>
      </c>
      <c r="N378" s="7"/>
      <c r="O378" s="88" t="s">
        <v>94</v>
      </c>
      <c r="P378">
        <v>1</v>
      </c>
    </row>
    <row r="379" spans="1:16" customFormat="1" ht="15.75">
      <c r="A379" s="84" t="str">
        <f>LEFT(M379,4)</f>
        <v>6204</v>
      </c>
      <c r="B379" s="84" t="str">
        <f t="shared" si="6"/>
        <v>ПЛАТЬЕ Без товарного знака жен. Артикул 5932 цвет КОРАЛЛОВЫЙ р. 54</v>
      </c>
      <c r="C379" s="69" t="s">
        <v>1690</v>
      </c>
      <c r="D379" s="69" t="s">
        <v>55</v>
      </c>
      <c r="E379" s="92">
        <v>5932</v>
      </c>
      <c r="F379" s="69" t="s">
        <v>1691</v>
      </c>
      <c r="G379" s="72" t="s">
        <v>172</v>
      </c>
      <c r="H379" s="69" t="s">
        <v>1692</v>
      </c>
      <c r="I379" s="69" t="s">
        <v>59</v>
      </c>
      <c r="J379" s="86">
        <v>54</v>
      </c>
      <c r="K379" s="89" t="s">
        <v>1738</v>
      </c>
      <c r="L379" s="89" t="s">
        <v>1738</v>
      </c>
      <c r="M379" s="73">
        <v>6204420000</v>
      </c>
      <c r="N379" s="7"/>
      <c r="O379" s="88" t="s">
        <v>94</v>
      </c>
      <c r="P379">
        <v>1</v>
      </c>
    </row>
    <row r="380" spans="1:16" customFormat="1" ht="15.75">
      <c r="A380" s="84" t="str">
        <f>LEFT(M380,4)</f>
        <v>6204</v>
      </c>
      <c r="B380" s="84" t="str">
        <f t="shared" si="6"/>
        <v>ПЛАТЬЕ Без товарного знака жен. Артикул 118300 цвет ГОЛУБОЙ р. 48</v>
      </c>
      <c r="C380" s="69" t="s">
        <v>1690</v>
      </c>
      <c r="D380" s="69" t="s">
        <v>55</v>
      </c>
      <c r="E380" s="92">
        <v>118300</v>
      </c>
      <c r="F380" s="69" t="s">
        <v>1691</v>
      </c>
      <c r="G380" s="72" t="s">
        <v>141</v>
      </c>
      <c r="H380" s="69" t="s">
        <v>1692</v>
      </c>
      <c r="I380" s="69" t="s">
        <v>59</v>
      </c>
      <c r="J380" s="86">
        <v>48</v>
      </c>
      <c r="K380" s="89" t="s">
        <v>1750</v>
      </c>
      <c r="L380" s="89" t="s">
        <v>1750</v>
      </c>
      <c r="M380" s="73">
        <v>6204430000</v>
      </c>
      <c r="N380" s="7"/>
      <c r="O380" s="88" t="s">
        <v>59</v>
      </c>
      <c r="P380">
        <v>1</v>
      </c>
    </row>
    <row r="381" spans="1:16" customFormat="1" ht="15.75">
      <c r="A381" s="84" t="str">
        <f>LEFT(M381,4)</f>
        <v>6204</v>
      </c>
      <c r="B381" s="84" t="str">
        <f t="shared" si="6"/>
        <v>ПЛАТЬЕ Без товарного знака жен. Артикул 18568 цвет СТАЛЬ р. 48</v>
      </c>
      <c r="C381" s="69" t="s">
        <v>1690</v>
      </c>
      <c r="D381" s="69" t="s">
        <v>55</v>
      </c>
      <c r="E381" s="92">
        <v>18568</v>
      </c>
      <c r="F381" s="69" t="s">
        <v>1691</v>
      </c>
      <c r="G381" s="75" t="s">
        <v>1777</v>
      </c>
      <c r="H381" s="69" t="s">
        <v>1692</v>
      </c>
      <c r="I381" s="69" t="s">
        <v>59</v>
      </c>
      <c r="J381" s="86">
        <v>48</v>
      </c>
      <c r="K381" s="89" t="s">
        <v>1778</v>
      </c>
      <c r="L381" s="89" t="s">
        <v>1778</v>
      </c>
      <c r="M381" s="73">
        <v>6204430000</v>
      </c>
      <c r="N381" s="7"/>
      <c r="O381" s="88" t="s">
        <v>94</v>
      </c>
      <c r="P381">
        <v>1</v>
      </c>
    </row>
    <row r="382" spans="1:16" customFormat="1" ht="15.75">
      <c r="A382" s="84" t="str">
        <f>LEFT(M382,4)</f>
        <v>6204</v>
      </c>
      <c r="B382" s="84" t="str">
        <f t="shared" si="6"/>
        <v>ПЛАТЬЕ Без товарного знака жен. Артикул 8214 цвет КРАСНЫЙ р. 48</v>
      </c>
      <c r="C382" s="69" t="s">
        <v>1690</v>
      </c>
      <c r="D382" s="69" t="s">
        <v>55</v>
      </c>
      <c r="E382" s="92">
        <v>8214</v>
      </c>
      <c r="F382" s="69" t="s">
        <v>1691</v>
      </c>
      <c r="G382" s="72" t="s">
        <v>180</v>
      </c>
      <c r="H382" s="69" t="s">
        <v>1692</v>
      </c>
      <c r="I382" s="69" t="s">
        <v>59</v>
      </c>
      <c r="J382" s="86">
        <v>48</v>
      </c>
      <c r="K382" s="89" t="s">
        <v>1744</v>
      </c>
      <c r="L382" s="89" t="s">
        <v>1744</v>
      </c>
      <c r="M382" s="73">
        <v>6204430000</v>
      </c>
      <c r="N382" s="7"/>
      <c r="O382" s="88" t="s">
        <v>94</v>
      </c>
      <c r="P382">
        <v>1</v>
      </c>
    </row>
    <row r="383" spans="1:16" customFormat="1" ht="15.75">
      <c r="A383" s="84" t="str">
        <f>LEFT(M383,4)</f>
        <v>6204</v>
      </c>
      <c r="B383" s="84" t="str">
        <f t="shared" si="6"/>
        <v>ПЛАТЬЕ Без товарного знака жен. Артикул 755 цвет КРАСНЫЙ р. 42</v>
      </c>
      <c r="C383" s="69" t="s">
        <v>1690</v>
      </c>
      <c r="D383" s="69" t="s">
        <v>55</v>
      </c>
      <c r="E383" s="92">
        <v>755</v>
      </c>
      <c r="F383" s="69" t="s">
        <v>1691</v>
      </c>
      <c r="G383" s="72" t="s">
        <v>180</v>
      </c>
      <c r="H383" s="69" t="s">
        <v>1692</v>
      </c>
      <c r="I383" s="69" t="s">
        <v>59</v>
      </c>
      <c r="J383" s="86">
        <v>42</v>
      </c>
      <c r="K383" s="89" t="s">
        <v>1693</v>
      </c>
      <c r="L383" s="89" t="s">
        <v>1693</v>
      </c>
      <c r="M383" s="73">
        <v>6204430000</v>
      </c>
      <c r="N383" s="7"/>
      <c r="O383" s="88" t="s">
        <v>94</v>
      </c>
      <c r="P383">
        <v>1</v>
      </c>
    </row>
    <row r="384" spans="1:16" customFormat="1" ht="15.75">
      <c r="A384" s="84" t="str">
        <f>LEFT(M384,4)</f>
        <v>6204</v>
      </c>
      <c r="B384" s="84" t="str">
        <f t="shared" si="6"/>
        <v>ПЛАТЬЕ Без товарного знака жен. Артикул 755 цвет КРАСНЫЙ р. 46</v>
      </c>
      <c r="C384" s="69" t="s">
        <v>1690</v>
      </c>
      <c r="D384" s="69" t="s">
        <v>55</v>
      </c>
      <c r="E384" s="92">
        <v>755</v>
      </c>
      <c r="F384" s="69" t="s">
        <v>1691</v>
      </c>
      <c r="G384" s="72" t="s">
        <v>180</v>
      </c>
      <c r="H384" s="69" t="s">
        <v>1692</v>
      </c>
      <c r="I384" s="69" t="s">
        <v>59</v>
      </c>
      <c r="J384" s="86">
        <v>46</v>
      </c>
      <c r="K384" s="89" t="s">
        <v>1693</v>
      </c>
      <c r="L384" s="89" t="s">
        <v>1693</v>
      </c>
      <c r="M384" s="73">
        <v>6204430000</v>
      </c>
      <c r="N384" s="7"/>
      <c r="O384" s="88" t="s">
        <v>94</v>
      </c>
      <c r="P384">
        <v>1</v>
      </c>
    </row>
    <row r="385" spans="1:16" customFormat="1" ht="15.75">
      <c r="A385" s="84" t="str">
        <f>LEFT(M385,4)</f>
        <v>6204</v>
      </c>
      <c r="B385" s="84" t="str">
        <f t="shared" si="6"/>
        <v>ПЛАТЬЕ Без товарного знака жен. Артикул 755 цвет КРАСНЫЙ р. 48</v>
      </c>
      <c r="C385" s="69" t="s">
        <v>1690</v>
      </c>
      <c r="D385" s="69" t="s">
        <v>55</v>
      </c>
      <c r="E385" s="92">
        <v>755</v>
      </c>
      <c r="F385" s="69" t="s">
        <v>1691</v>
      </c>
      <c r="G385" s="72" t="s">
        <v>180</v>
      </c>
      <c r="H385" s="69" t="s">
        <v>1692</v>
      </c>
      <c r="I385" s="69" t="s">
        <v>59</v>
      </c>
      <c r="J385" s="86">
        <v>48</v>
      </c>
      <c r="K385" s="89" t="s">
        <v>1693</v>
      </c>
      <c r="L385" s="89" t="s">
        <v>1693</v>
      </c>
      <c r="M385" s="73">
        <v>6204430000</v>
      </c>
      <c r="N385" s="7"/>
      <c r="O385" s="88" t="s">
        <v>94</v>
      </c>
      <c r="P385">
        <v>1</v>
      </c>
    </row>
    <row r="386" spans="1:16" customFormat="1" ht="15.75">
      <c r="A386" s="84" t="str">
        <f>LEFT(M386,4)</f>
        <v>6204</v>
      </c>
      <c r="B386" s="84" t="str">
        <f t="shared" si="6"/>
        <v>ПЛАТЬЕ Без товарного знака жен. Артикул 1426 цвет БЮРЮЗОВЫЙ р. 48</v>
      </c>
      <c r="C386" s="69" t="s">
        <v>1690</v>
      </c>
      <c r="D386" s="69" t="s">
        <v>55</v>
      </c>
      <c r="E386" s="92">
        <v>1426</v>
      </c>
      <c r="F386" s="69" t="s">
        <v>1691</v>
      </c>
      <c r="G386" s="75" t="s">
        <v>1779</v>
      </c>
      <c r="H386" s="69" t="s">
        <v>1692</v>
      </c>
      <c r="I386" s="69" t="s">
        <v>59</v>
      </c>
      <c r="J386" s="86">
        <v>48</v>
      </c>
      <c r="K386" s="89" t="s">
        <v>1693</v>
      </c>
      <c r="L386" s="89" t="s">
        <v>1693</v>
      </c>
      <c r="M386" s="73">
        <v>6204430000</v>
      </c>
      <c r="N386" s="7"/>
      <c r="O386" s="88" t="s">
        <v>94</v>
      </c>
      <c r="P386">
        <v>1</v>
      </c>
    </row>
    <row r="387" spans="1:16" customFormat="1" ht="15.75">
      <c r="A387" s="84" t="str">
        <f>LEFT(M387,4)</f>
        <v>6204</v>
      </c>
      <c r="B387" s="84" t="str">
        <f t="shared" si="6"/>
        <v>ПЛАТЬЕ Без товарного знака жен. Артикул 2994 цвет МЯТА р. 48</v>
      </c>
      <c r="C387" s="69" t="s">
        <v>1690</v>
      </c>
      <c r="D387" s="69" t="s">
        <v>55</v>
      </c>
      <c r="E387" s="92">
        <v>2994</v>
      </c>
      <c r="F387" s="69" t="s">
        <v>1691</v>
      </c>
      <c r="G387" s="75" t="s">
        <v>1780</v>
      </c>
      <c r="H387" s="69" t="s">
        <v>1692</v>
      </c>
      <c r="I387" s="69" t="s">
        <v>59</v>
      </c>
      <c r="J387" s="86">
        <v>48</v>
      </c>
      <c r="K387" s="89" t="s">
        <v>1693</v>
      </c>
      <c r="L387" s="89" t="s">
        <v>1693</v>
      </c>
      <c r="M387" s="73">
        <v>6204430000</v>
      </c>
      <c r="N387" s="7"/>
      <c r="O387" s="88" t="s">
        <v>94</v>
      </c>
      <c r="P387">
        <v>1</v>
      </c>
    </row>
    <row r="388" spans="1:16" customFormat="1" ht="15.75">
      <c r="A388" s="84" t="str">
        <f>LEFT(M388,4)</f>
        <v>6204</v>
      </c>
      <c r="B388" s="84" t="str">
        <f t="shared" si="6"/>
        <v>ПЛАТЬЕ Без товарного знака жен. Артикул 7380 цвет БИРЮЗОВЫЙ р. 50</v>
      </c>
      <c r="C388" s="69" t="s">
        <v>1690</v>
      </c>
      <c r="D388" s="69" t="s">
        <v>55</v>
      </c>
      <c r="E388" s="92">
        <v>7380</v>
      </c>
      <c r="F388" s="69" t="s">
        <v>1691</v>
      </c>
      <c r="G388" s="72" t="s">
        <v>111</v>
      </c>
      <c r="H388" s="69" t="s">
        <v>1692</v>
      </c>
      <c r="I388" s="69" t="s">
        <v>59</v>
      </c>
      <c r="J388" s="86">
        <v>50</v>
      </c>
      <c r="K388" s="89" t="s">
        <v>1693</v>
      </c>
      <c r="L388" s="89" t="s">
        <v>1693</v>
      </c>
      <c r="M388" s="73">
        <v>6204430000</v>
      </c>
      <c r="N388" s="7"/>
      <c r="O388" s="88" t="s">
        <v>94</v>
      </c>
      <c r="P388">
        <v>1</v>
      </c>
    </row>
    <row r="389" spans="1:16" customFormat="1" ht="15.75">
      <c r="A389" s="84" t="str">
        <f>LEFT(M389,4)</f>
        <v>6204</v>
      </c>
      <c r="B389" s="84" t="str">
        <f t="shared" si="6"/>
        <v>ПЛАТЬЕ Без товарного знака жен. Артикул 7380 цвет БИРЮЗОВЫЙ р. 54</v>
      </c>
      <c r="C389" s="69" t="s">
        <v>1690</v>
      </c>
      <c r="D389" s="69" t="s">
        <v>55</v>
      </c>
      <c r="E389" s="92">
        <v>7380</v>
      </c>
      <c r="F389" s="69" t="s">
        <v>1691</v>
      </c>
      <c r="G389" s="72" t="s">
        <v>111</v>
      </c>
      <c r="H389" s="69" t="s">
        <v>1692</v>
      </c>
      <c r="I389" s="69" t="s">
        <v>59</v>
      </c>
      <c r="J389" s="86">
        <v>54</v>
      </c>
      <c r="K389" s="89" t="s">
        <v>1693</v>
      </c>
      <c r="L389" s="89" t="s">
        <v>1693</v>
      </c>
      <c r="M389" s="73">
        <v>6204430000</v>
      </c>
      <c r="N389" s="7"/>
      <c r="O389" s="88" t="s">
        <v>94</v>
      </c>
      <c r="P389">
        <v>1</v>
      </c>
    </row>
    <row r="390" spans="1:16" customFormat="1" ht="15.75">
      <c r="A390" s="84" t="str">
        <f>LEFT(M390,4)</f>
        <v>6204</v>
      </c>
      <c r="B390" s="84" t="str">
        <f t="shared" si="6"/>
        <v>ПЛАТЬЕ Без товарного знака жен. Артикул 7380 цвет БИРЮЗОВЫЙ р. 44</v>
      </c>
      <c r="C390" s="69" t="s">
        <v>1690</v>
      </c>
      <c r="D390" s="69" t="s">
        <v>55</v>
      </c>
      <c r="E390" s="92">
        <v>7380</v>
      </c>
      <c r="F390" s="69" t="s">
        <v>1691</v>
      </c>
      <c r="G390" s="72" t="s">
        <v>111</v>
      </c>
      <c r="H390" s="69" t="s">
        <v>1692</v>
      </c>
      <c r="I390" s="69" t="s">
        <v>59</v>
      </c>
      <c r="J390" s="86">
        <v>44</v>
      </c>
      <c r="K390" s="89" t="s">
        <v>1693</v>
      </c>
      <c r="L390" s="89" t="s">
        <v>1693</v>
      </c>
      <c r="M390" s="73">
        <v>6204430000</v>
      </c>
      <c r="N390" s="7"/>
      <c r="O390" s="88" t="s">
        <v>94</v>
      </c>
      <c r="P390">
        <v>1</v>
      </c>
    </row>
    <row r="391" spans="1:16" customFormat="1" ht="15.75">
      <c r="A391" s="84" t="str">
        <f>LEFT(M391,4)</f>
        <v>6204</v>
      </c>
      <c r="B391" s="84" t="str">
        <f t="shared" si="6"/>
        <v>ПЛАТЬЕ Без товарного знака жен. Артикул 120541 цвет СИНИЙ р. 48</v>
      </c>
      <c r="C391" s="69" t="s">
        <v>1690</v>
      </c>
      <c r="D391" s="69" t="s">
        <v>55</v>
      </c>
      <c r="E391" s="92">
        <v>120541</v>
      </c>
      <c r="F391" s="69" t="s">
        <v>1691</v>
      </c>
      <c r="G391" s="72" t="s">
        <v>279</v>
      </c>
      <c r="H391" s="69" t="s">
        <v>1692</v>
      </c>
      <c r="I391" s="69" t="s">
        <v>59</v>
      </c>
      <c r="J391" s="86">
        <v>48</v>
      </c>
      <c r="K391" s="89" t="s">
        <v>1781</v>
      </c>
      <c r="L391" s="89" t="s">
        <v>1781</v>
      </c>
      <c r="M391" s="73">
        <v>6204430000</v>
      </c>
      <c r="N391" s="7"/>
      <c r="O391" s="88" t="s">
        <v>59</v>
      </c>
      <c r="P391">
        <v>1</v>
      </c>
    </row>
    <row r="392" spans="1:16" customFormat="1" ht="15.75">
      <c r="A392" s="84" t="str">
        <f>LEFT(M392,4)</f>
        <v>6204</v>
      </c>
      <c r="B392" s="84" t="str">
        <f t="shared" si="6"/>
        <v>ПЛАТЬЕ Без товарного знака жен. Артикул 5288 цвет ЛИЛОВЫЙ р. 48</v>
      </c>
      <c r="C392" s="69" t="s">
        <v>1690</v>
      </c>
      <c r="D392" s="69" t="s">
        <v>55</v>
      </c>
      <c r="E392" s="92">
        <v>5288</v>
      </c>
      <c r="F392" s="69" t="s">
        <v>1691</v>
      </c>
      <c r="G392" s="72" t="s">
        <v>193</v>
      </c>
      <c r="H392" s="69" t="s">
        <v>1692</v>
      </c>
      <c r="I392" s="69" t="s">
        <v>59</v>
      </c>
      <c r="J392" s="86">
        <v>48</v>
      </c>
      <c r="K392" s="89" t="s">
        <v>1693</v>
      </c>
      <c r="L392" s="89" t="s">
        <v>1693</v>
      </c>
      <c r="M392" s="73">
        <v>6204430000</v>
      </c>
      <c r="N392" s="7"/>
      <c r="O392" s="88" t="s">
        <v>94</v>
      </c>
      <c r="P392">
        <v>1</v>
      </c>
    </row>
    <row r="393" spans="1:16" customFormat="1" ht="15.75">
      <c r="A393" s="84" t="str">
        <f>LEFT(M393,4)</f>
        <v>6204</v>
      </c>
      <c r="B393" s="84" t="str">
        <f t="shared" si="6"/>
        <v>ПЛАТЬЕ Без товарного знака жен. Артикул 115341 цвет СИРЕНЕВЫЙ р. 48</v>
      </c>
      <c r="C393" s="69" t="s">
        <v>1690</v>
      </c>
      <c r="D393" s="69" t="s">
        <v>55</v>
      </c>
      <c r="E393" s="92">
        <v>115341</v>
      </c>
      <c r="F393" s="69" t="s">
        <v>1691</v>
      </c>
      <c r="G393" s="72" t="s">
        <v>282</v>
      </c>
      <c r="H393" s="69" t="s">
        <v>1692</v>
      </c>
      <c r="I393" s="69" t="s">
        <v>59</v>
      </c>
      <c r="J393" s="86">
        <v>48</v>
      </c>
      <c r="K393" s="89" t="s">
        <v>1750</v>
      </c>
      <c r="L393" s="89" t="s">
        <v>1750</v>
      </c>
      <c r="M393" s="73">
        <v>6204430000</v>
      </c>
      <c r="N393" s="7"/>
      <c r="O393" s="88" t="s">
        <v>59</v>
      </c>
      <c r="P393">
        <v>1</v>
      </c>
    </row>
    <row r="394" spans="1:16" customFormat="1" ht="15.75">
      <c r="A394" s="84" t="str">
        <f>LEFT(M394,4)</f>
        <v>6204</v>
      </c>
      <c r="B394" s="84" t="str">
        <f t="shared" si="6"/>
        <v>ПЛАТЬЕ Без товарного знака жен. Артикул 7099 цвет СИНИЙ р. 50</v>
      </c>
      <c r="C394" s="69" t="s">
        <v>1690</v>
      </c>
      <c r="D394" s="69" t="s">
        <v>55</v>
      </c>
      <c r="E394" s="92">
        <v>7099</v>
      </c>
      <c r="F394" s="69" t="s">
        <v>1691</v>
      </c>
      <c r="G394" s="72" t="s">
        <v>279</v>
      </c>
      <c r="H394" s="69" t="s">
        <v>1692</v>
      </c>
      <c r="I394" s="69" t="s">
        <v>59</v>
      </c>
      <c r="J394" s="86">
        <v>50</v>
      </c>
      <c r="K394" s="89" t="s">
        <v>1782</v>
      </c>
      <c r="L394" s="89" t="s">
        <v>1782</v>
      </c>
      <c r="M394" s="73">
        <v>6204430000</v>
      </c>
      <c r="N394" s="7"/>
      <c r="O394" s="88" t="s">
        <v>94</v>
      </c>
      <c r="P394">
        <v>1</v>
      </c>
    </row>
    <row r="395" spans="1:16" customFormat="1" ht="15.75">
      <c r="A395" s="84" t="str">
        <f>LEFT(M395,4)</f>
        <v>6204</v>
      </c>
      <c r="B395" s="84" t="str">
        <f t="shared" si="6"/>
        <v>ПЛАТЬЕ Без товарного знака жен. Артикул 7099 цвет СИНИЙ р. 48</v>
      </c>
      <c r="C395" s="69" t="s">
        <v>1690</v>
      </c>
      <c r="D395" s="69" t="s">
        <v>55</v>
      </c>
      <c r="E395" s="92">
        <v>7099</v>
      </c>
      <c r="F395" s="69" t="s">
        <v>1691</v>
      </c>
      <c r="G395" s="72" t="s">
        <v>279</v>
      </c>
      <c r="H395" s="69" t="s">
        <v>1692</v>
      </c>
      <c r="I395" s="69" t="s">
        <v>59</v>
      </c>
      <c r="J395" s="86">
        <v>48</v>
      </c>
      <c r="K395" s="89" t="s">
        <v>1782</v>
      </c>
      <c r="L395" s="89" t="s">
        <v>1782</v>
      </c>
      <c r="M395" s="73">
        <v>6204430000</v>
      </c>
      <c r="N395" s="7"/>
      <c r="O395" s="88" t="s">
        <v>94</v>
      </c>
      <c r="P395">
        <v>1</v>
      </c>
    </row>
    <row r="396" spans="1:16" customFormat="1" ht="15.75">
      <c r="A396" s="84" t="str">
        <f>LEFT(M396,4)</f>
        <v>6204</v>
      </c>
      <c r="B396" s="84" t="str">
        <f t="shared" si="6"/>
        <v>ПЛАТЬЕ Без товарного знака жен. Артикул 120342 цвет СИНИЙ р. 46</v>
      </c>
      <c r="C396" s="69" t="s">
        <v>1690</v>
      </c>
      <c r="D396" s="69" t="s">
        <v>55</v>
      </c>
      <c r="E396" s="92">
        <v>120342</v>
      </c>
      <c r="F396" s="69" t="s">
        <v>1691</v>
      </c>
      <c r="G396" s="72" t="s">
        <v>279</v>
      </c>
      <c r="H396" s="69" t="s">
        <v>1692</v>
      </c>
      <c r="I396" s="69" t="s">
        <v>59</v>
      </c>
      <c r="J396" s="86">
        <v>46</v>
      </c>
      <c r="K396" s="89" t="s">
        <v>1776</v>
      </c>
      <c r="L396" s="89" t="s">
        <v>1776</v>
      </c>
      <c r="M396" s="73">
        <v>6204430000</v>
      </c>
      <c r="N396" s="7"/>
      <c r="O396" s="88" t="s">
        <v>59</v>
      </c>
      <c r="P396">
        <v>1</v>
      </c>
    </row>
    <row r="397" spans="1:16" customFormat="1" ht="15.75">
      <c r="A397" s="84" t="str">
        <f>LEFT(M397,4)</f>
        <v>6204</v>
      </c>
      <c r="B397" s="84" t="str">
        <f t="shared" si="6"/>
        <v>ПЛАТЬЕ Без товарного знака жен. Артикул 1287 цвет ГОЛУБОЙ р. 48</v>
      </c>
      <c r="C397" s="69" t="s">
        <v>1690</v>
      </c>
      <c r="D397" s="69" t="s">
        <v>55</v>
      </c>
      <c r="E397" s="92">
        <v>1287</v>
      </c>
      <c r="F397" s="69" t="s">
        <v>1691</v>
      </c>
      <c r="G397" s="72" t="s">
        <v>141</v>
      </c>
      <c r="H397" s="69" t="s">
        <v>1692</v>
      </c>
      <c r="I397" s="69" t="s">
        <v>59</v>
      </c>
      <c r="J397" s="86">
        <v>48</v>
      </c>
      <c r="K397" s="89" t="s">
        <v>1693</v>
      </c>
      <c r="L397" s="89" t="s">
        <v>1693</v>
      </c>
      <c r="M397" s="73">
        <v>6204430000</v>
      </c>
      <c r="N397" s="7"/>
      <c r="O397" s="88" t="s">
        <v>94</v>
      </c>
      <c r="P397">
        <v>1</v>
      </c>
    </row>
    <row r="398" spans="1:16" customFormat="1" ht="15.75">
      <c r="A398" s="84" t="str">
        <f>LEFT(M398,4)</f>
        <v>6204</v>
      </c>
      <c r="B398" s="84" t="str">
        <f t="shared" si="6"/>
        <v>ПЛАТЬЕ Без товарного знака жен. Артикул 3358 цвет СИНИЙ р. 48</v>
      </c>
      <c r="C398" s="69" t="s">
        <v>1690</v>
      </c>
      <c r="D398" s="69" t="s">
        <v>55</v>
      </c>
      <c r="E398" s="92">
        <v>3358</v>
      </c>
      <c r="F398" s="69" t="s">
        <v>1691</v>
      </c>
      <c r="G398" s="72" t="s">
        <v>279</v>
      </c>
      <c r="H398" s="69" t="s">
        <v>1692</v>
      </c>
      <c r="I398" s="69" t="s">
        <v>59</v>
      </c>
      <c r="J398" s="86">
        <v>48</v>
      </c>
      <c r="K398" s="89" t="s">
        <v>1693</v>
      </c>
      <c r="L398" s="89" t="s">
        <v>1693</v>
      </c>
      <c r="M398" s="73">
        <v>6204430000</v>
      </c>
      <c r="N398" s="7"/>
      <c r="O398" s="88" t="s">
        <v>94</v>
      </c>
      <c r="P398">
        <v>1</v>
      </c>
    </row>
    <row r="399" spans="1:16" customFormat="1" ht="15.75">
      <c r="A399" s="84" t="str">
        <f>LEFT(M399,4)</f>
        <v>6204</v>
      </c>
      <c r="B399" s="84" t="str">
        <f t="shared" si="6"/>
        <v>ПЛАТЬЕ Без товарного знака жен. Артикул 1150 цвет СИНИЙ р. 48</v>
      </c>
      <c r="C399" s="69" t="s">
        <v>1690</v>
      </c>
      <c r="D399" s="69" t="s">
        <v>55</v>
      </c>
      <c r="E399" s="92">
        <v>1150</v>
      </c>
      <c r="F399" s="69" t="s">
        <v>1691</v>
      </c>
      <c r="G399" s="72" t="s">
        <v>279</v>
      </c>
      <c r="H399" s="69" t="s">
        <v>1692</v>
      </c>
      <c r="I399" s="69" t="s">
        <v>59</v>
      </c>
      <c r="J399" s="86">
        <v>48</v>
      </c>
      <c r="K399" s="89" t="s">
        <v>1693</v>
      </c>
      <c r="L399" s="89" t="s">
        <v>1693</v>
      </c>
      <c r="M399" s="73">
        <v>6204430000</v>
      </c>
      <c r="N399" s="7"/>
      <c r="O399" s="88" t="s">
        <v>94</v>
      </c>
      <c r="P399">
        <v>1</v>
      </c>
    </row>
    <row r="400" spans="1:16" customFormat="1" ht="15.75">
      <c r="A400" s="84" t="str">
        <f>LEFT(M400,4)</f>
        <v>6204</v>
      </c>
      <c r="B400" s="84" t="str">
        <f t="shared" si="6"/>
        <v>ПЛАТЬЕ Без товарного знака жен. Артикул 2336 цвет СИНИЙ р. 48</v>
      </c>
      <c r="C400" s="69" t="s">
        <v>1690</v>
      </c>
      <c r="D400" s="69" t="s">
        <v>55</v>
      </c>
      <c r="E400" s="92">
        <v>2336</v>
      </c>
      <c r="F400" s="69" t="s">
        <v>1691</v>
      </c>
      <c r="G400" s="72" t="s">
        <v>279</v>
      </c>
      <c r="H400" s="69" t="s">
        <v>1692</v>
      </c>
      <c r="I400" s="69" t="s">
        <v>59</v>
      </c>
      <c r="J400" s="86">
        <v>48</v>
      </c>
      <c r="K400" s="89" t="s">
        <v>1693</v>
      </c>
      <c r="L400" s="89" t="s">
        <v>1693</v>
      </c>
      <c r="M400" s="73">
        <v>6204430000</v>
      </c>
      <c r="N400" s="7"/>
      <c r="O400" s="88" t="s">
        <v>94</v>
      </c>
      <c r="P400">
        <v>1</v>
      </c>
    </row>
    <row r="401" spans="1:16" customFormat="1" ht="15">
      <c r="A401" s="84" t="str">
        <f>LEFT(M401,4)</f>
        <v>6204</v>
      </c>
      <c r="B401" s="84" t="str">
        <f t="shared" si="6"/>
        <v>ПЛАТЬЕ Без товарного знака жен. Артикул 0112441 цвет РАЗНОЦВЕТНЫЙ р. 48</v>
      </c>
      <c r="C401" s="69" t="s">
        <v>1690</v>
      </c>
      <c r="D401" s="69" t="s">
        <v>55</v>
      </c>
      <c r="E401" s="91" t="s">
        <v>1783</v>
      </c>
      <c r="F401" s="69" t="s">
        <v>1691</v>
      </c>
      <c r="G401" s="72" t="s">
        <v>229</v>
      </c>
      <c r="H401" s="69" t="s">
        <v>1692</v>
      </c>
      <c r="I401" s="69" t="s">
        <v>59</v>
      </c>
      <c r="J401" s="86">
        <v>48</v>
      </c>
      <c r="K401" s="86" t="s">
        <v>1750</v>
      </c>
      <c r="L401" s="86" t="s">
        <v>1750</v>
      </c>
      <c r="M401" s="73">
        <v>6204430000</v>
      </c>
      <c r="N401" s="7"/>
      <c r="O401" s="86" t="s">
        <v>59</v>
      </c>
      <c r="P401">
        <v>1</v>
      </c>
    </row>
    <row r="402" spans="1:16" customFormat="1" ht="15">
      <c r="A402" s="84" t="str">
        <f>LEFT(M402,4)</f>
        <v>6204</v>
      </c>
      <c r="B402" s="84" t="str">
        <f t="shared" si="6"/>
        <v>ПЛАТЬЕ Без товарного знака жен. Артикул 3089 цвет ЛИЛОВЫЙ р. 48</v>
      </c>
      <c r="C402" s="69" t="s">
        <v>1690</v>
      </c>
      <c r="D402" s="69" t="s">
        <v>55</v>
      </c>
      <c r="E402" s="91">
        <v>3089</v>
      </c>
      <c r="F402" s="69" t="s">
        <v>1691</v>
      </c>
      <c r="G402" s="72" t="s">
        <v>193</v>
      </c>
      <c r="H402" s="69" t="s">
        <v>1692</v>
      </c>
      <c r="I402" s="69" t="s">
        <v>59</v>
      </c>
      <c r="J402" s="86">
        <v>48</v>
      </c>
      <c r="K402" s="86" t="s">
        <v>1693</v>
      </c>
      <c r="L402" s="86" t="s">
        <v>1693</v>
      </c>
      <c r="M402" s="73">
        <v>6204430000</v>
      </c>
      <c r="N402" s="7"/>
      <c r="O402" s="86" t="s">
        <v>94</v>
      </c>
      <c r="P402">
        <v>1</v>
      </c>
    </row>
    <row r="403" spans="1:16" customFormat="1" ht="15">
      <c r="A403" s="84" t="str">
        <f>LEFT(M403,4)</f>
        <v>6204</v>
      </c>
      <c r="B403" s="84" t="str">
        <f t="shared" si="6"/>
        <v>ПЛАТЬЕ Без товарного знака жен. Артикул 7465 цвет РАЗНОЦВЕТНЫЙ р. 48</v>
      </c>
      <c r="C403" s="69" t="s">
        <v>1690</v>
      </c>
      <c r="D403" s="69" t="s">
        <v>55</v>
      </c>
      <c r="E403" s="91">
        <v>7465</v>
      </c>
      <c r="F403" s="69" t="s">
        <v>1691</v>
      </c>
      <c r="G403" s="72" t="s">
        <v>229</v>
      </c>
      <c r="H403" s="69" t="s">
        <v>1692</v>
      </c>
      <c r="I403" s="69" t="s">
        <v>59</v>
      </c>
      <c r="J403" s="86">
        <v>48</v>
      </c>
      <c r="K403" s="86" t="s">
        <v>1693</v>
      </c>
      <c r="L403" s="86" t="s">
        <v>1693</v>
      </c>
      <c r="M403" s="73">
        <v>6204430000</v>
      </c>
      <c r="N403" s="7"/>
      <c r="O403" s="86" t="s">
        <v>94</v>
      </c>
      <c r="P403">
        <v>1</v>
      </c>
    </row>
    <row r="404" spans="1:16" customFormat="1" ht="15">
      <c r="A404" s="84" t="str">
        <f>LEFT(M404,4)</f>
        <v>6204</v>
      </c>
      <c r="B404" s="84" t="str">
        <f t="shared" si="6"/>
        <v>ПЛАТЬЕ Без товарного знака жен. Артикул 7465 цвет РАЗНОЦВЕТНЫЙ р. 50</v>
      </c>
      <c r="C404" s="69" t="s">
        <v>1690</v>
      </c>
      <c r="D404" s="69" t="s">
        <v>55</v>
      </c>
      <c r="E404" s="91">
        <v>7465</v>
      </c>
      <c r="F404" s="69" t="s">
        <v>1691</v>
      </c>
      <c r="G404" s="72" t="s">
        <v>229</v>
      </c>
      <c r="H404" s="69" t="s">
        <v>1692</v>
      </c>
      <c r="I404" s="69" t="s">
        <v>59</v>
      </c>
      <c r="J404" s="86">
        <v>50</v>
      </c>
      <c r="K404" s="86" t="s">
        <v>1693</v>
      </c>
      <c r="L404" s="86" t="s">
        <v>1693</v>
      </c>
      <c r="M404" s="73">
        <v>6204430000</v>
      </c>
      <c r="N404" s="7"/>
      <c r="O404" s="86" t="s">
        <v>94</v>
      </c>
      <c r="P404">
        <v>1</v>
      </c>
    </row>
    <row r="405" spans="1:16" customFormat="1" ht="15">
      <c r="A405" s="84" t="str">
        <f>LEFT(M405,4)</f>
        <v>6204</v>
      </c>
      <c r="B405" s="84" t="str">
        <f t="shared" si="6"/>
        <v>ПЛАТЬЕ Без товарного знака жен. Артикул 7465 цвет РАЗНОЦВЕТНЫЙ р. 52</v>
      </c>
      <c r="C405" s="69" t="s">
        <v>1690</v>
      </c>
      <c r="D405" s="69" t="s">
        <v>55</v>
      </c>
      <c r="E405" s="91">
        <v>7465</v>
      </c>
      <c r="F405" s="69" t="s">
        <v>1691</v>
      </c>
      <c r="G405" s="72" t="s">
        <v>229</v>
      </c>
      <c r="H405" s="69" t="s">
        <v>1692</v>
      </c>
      <c r="I405" s="69" t="s">
        <v>59</v>
      </c>
      <c r="J405" s="86">
        <v>52</v>
      </c>
      <c r="K405" s="86" t="s">
        <v>1693</v>
      </c>
      <c r="L405" s="86" t="s">
        <v>1693</v>
      </c>
      <c r="M405" s="73">
        <v>6204430000</v>
      </c>
      <c r="N405" s="7"/>
      <c r="O405" s="86" t="s">
        <v>94</v>
      </c>
      <c r="P405">
        <v>1</v>
      </c>
    </row>
    <row r="406" spans="1:16" customFormat="1" ht="15">
      <c r="A406" s="84" t="str">
        <f>LEFT(M406,4)</f>
        <v>6204</v>
      </c>
      <c r="B406" s="84" t="str">
        <f t="shared" si="6"/>
        <v>ПЛАТЬЕ Без товарного знака жен. Артикул 7465 цвет РАЗНОЦВЕТНЫЙ р. 54</v>
      </c>
      <c r="C406" s="69" t="s">
        <v>1690</v>
      </c>
      <c r="D406" s="69" t="s">
        <v>55</v>
      </c>
      <c r="E406" s="91">
        <v>7465</v>
      </c>
      <c r="F406" s="69" t="s">
        <v>1691</v>
      </c>
      <c r="G406" s="72" t="s">
        <v>229</v>
      </c>
      <c r="H406" s="69" t="s">
        <v>1692</v>
      </c>
      <c r="I406" s="69" t="s">
        <v>59</v>
      </c>
      <c r="J406" s="86">
        <v>54</v>
      </c>
      <c r="K406" s="86" t="s">
        <v>1693</v>
      </c>
      <c r="L406" s="86" t="s">
        <v>1693</v>
      </c>
      <c r="M406" s="73">
        <v>6204430000</v>
      </c>
      <c r="N406" s="7"/>
      <c r="O406" s="86" t="s">
        <v>94</v>
      </c>
      <c r="P406">
        <v>1</v>
      </c>
    </row>
    <row r="407" spans="1:16" customFormat="1" ht="15">
      <c r="A407" s="84" t="str">
        <f>LEFT(M407,4)</f>
        <v>6204</v>
      </c>
      <c r="B407" s="84" t="str">
        <f t="shared" si="6"/>
        <v>ПЛАТЬЕ Без товарного знака жен. Артикул 114102 цвет ЧЕРНЫЙ р. 48</v>
      </c>
      <c r="C407" s="69" t="s">
        <v>1690</v>
      </c>
      <c r="D407" s="69" t="s">
        <v>55</v>
      </c>
      <c r="E407" s="91">
        <v>114102</v>
      </c>
      <c r="F407" s="69" t="s">
        <v>1691</v>
      </c>
      <c r="G407" s="72" t="s">
        <v>330</v>
      </c>
      <c r="H407" s="69" t="s">
        <v>1692</v>
      </c>
      <c r="I407" s="69" t="s">
        <v>59</v>
      </c>
      <c r="J407" s="86">
        <v>48</v>
      </c>
      <c r="K407" s="86" t="s">
        <v>1750</v>
      </c>
      <c r="L407" s="86" t="s">
        <v>1750</v>
      </c>
      <c r="M407" s="73">
        <v>6204430000</v>
      </c>
      <c r="N407" s="7"/>
      <c r="O407" s="86" t="s">
        <v>59</v>
      </c>
      <c r="P407">
        <v>1</v>
      </c>
    </row>
    <row r="408" spans="1:16" customFormat="1" ht="15">
      <c r="A408" s="84" t="str">
        <f>LEFT(M408,4)</f>
        <v>6204</v>
      </c>
      <c r="B408" s="84" t="str">
        <f t="shared" si="6"/>
        <v>ПЛАТЬЕ Без товарного знака жен. Артикул 6023 цвет БИРЮЗОВЫЙ р. 48</v>
      </c>
      <c r="C408" s="69" t="s">
        <v>1690</v>
      </c>
      <c r="D408" s="69" t="s">
        <v>55</v>
      </c>
      <c r="E408" s="91">
        <v>6023</v>
      </c>
      <c r="F408" s="69" t="s">
        <v>1691</v>
      </c>
      <c r="G408" s="72" t="s">
        <v>111</v>
      </c>
      <c r="H408" s="69" t="s">
        <v>1692</v>
      </c>
      <c r="I408" s="69" t="s">
        <v>59</v>
      </c>
      <c r="J408" s="86">
        <v>48</v>
      </c>
      <c r="K408" s="86" t="s">
        <v>1765</v>
      </c>
      <c r="L408" s="86" t="s">
        <v>1765</v>
      </c>
      <c r="M408" s="73">
        <v>6204420000</v>
      </c>
      <c r="N408" s="7"/>
      <c r="O408" s="86" t="s">
        <v>59</v>
      </c>
      <c r="P408">
        <v>1</v>
      </c>
    </row>
    <row r="409" spans="1:16" customFormat="1" ht="15">
      <c r="A409" s="84" t="str">
        <f>LEFT(M409,4)</f>
        <v>6204</v>
      </c>
      <c r="B409" s="84" t="str">
        <f t="shared" si="6"/>
        <v>ПЛАТЬЕ Без товарного знака жен. Артикул 6023 цвет БИРЮЗОВЫЙ р. 50</v>
      </c>
      <c r="C409" s="69" t="s">
        <v>1690</v>
      </c>
      <c r="D409" s="69" t="s">
        <v>55</v>
      </c>
      <c r="E409" s="91">
        <v>6023</v>
      </c>
      <c r="F409" s="69" t="s">
        <v>1691</v>
      </c>
      <c r="G409" s="72" t="s">
        <v>111</v>
      </c>
      <c r="H409" s="69" t="s">
        <v>1692</v>
      </c>
      <c r="I409" s="69" t="s">
        <v>59</v>
      </c>
      <c r="J409" s="86">
        <v>50</v>
      </c>
      <c r="K409" s="86" t="s">
        <v>1765</v>
      </c>
      <c r="L409" s="86" t="s">
        <v>1765</v>
      </c>
      <c r="M409" s="73">
        <v>6204420000</v>
      </c>
      <c r="N409" s="7"/>
      <c r="O409" s="86" t="s">
        <v>59</v>
      </c>
      <c r="P409">
        <v>1</v>
      </c>
    </row>
    <row r="410" spans="1:16" customFormat="1" ht="15">
      <c r="A410" s="84" t="str">
        <f>LEFT(M410,4)</f>
        <v>6204</v>
      </c>
      <c r="B410" s="84" t="str">
        <f t="shared" si="6"/>
        <v>ПЛАТЬЕ Без товарного знака жен. Артикул 6023 цвет БИРЮЗОВЫЙ р. 52</v>
      </c>
      <c r="C410" s="69" t="s">
        <v>1690</v>
      </c>
      <c r="D410" s="69" t="s">
        <v>55</v>
      </c>
      <c r="E410" s="91">
        <v>6023</v>
      </c>
      <c r="F410" s="69" t="s">
        <v>1691</v>
      </c>
      <c r="G410" s="72" t="s">
        <v>111</v>
      </c>
      <c r="H410" s="69" t="s">
        <v>1692</v>
      </c>
      <c r="I410" s="69" t="s">
        <v>59</v>
      </c>
      <c r="J410" s="86">
        <v>52</v>
      </c>
      <c r="K410" s="86" t="s">
        <v>1765</v>
      </c>
      <c r="L410" s="86" t="s">
        <v>1765</v>
      </c>
      <c r="M410" s="73">
        <v>6204420000</v>
      </c>
      <c r="N410" s="7"/>
      <c r="O410" s="86" t="s">
        <v>59</v>
      </c>
      <c r="P410">
        <v>1</v>
      </c>
    </row>
    <row r="411" spans="1:16" customFormat="1" ht="15">
      <c r="A411" s="84" t="str">
        <f>LEFT(M411,4)</f>
        <v>6204</v>
      </c>
      <c r="B411" s="84" t="str">
        <f t="shared" si="6"/>
        <v>ПЛАТЬЕ Без товарного знака жен. Артикул 6023 цвет БИРЮЗОВЫЙ р. 54</v>
      </c>
      <c r="C411" s="69" t="s">
        <v>1690</v>
      </c>
      <c r="D411" s="69" t="s">
        <v>55</v>
      </c>
      <c r="E411" s="91">
        <v>6023</v>
      </c>
      <c r="F411" s="69" t="s">
        <v>1691</v>
      </c>
      <c r="G411" s="72" t="s">
        <v>111</v>
      </c>
      <c r="H411" s="69" t="s">
        <v>1692</v>
      </c>
      <c r="I411" s="69" t="s">
        <v>59</v>
      </c>
      <c r="J411" s="86">
        <v>54</v>
      </c>
      <c r="K411" s="86" t="s">
        <v>1765</v>
      </c>
      <c r="L411" s="86" t="s">
        <v>1765</v>
      </c>
      <c r="M411" s="73">
        <v>6204420000</v>
      </c>
      <c r="N411" s="7"/>
      <c r="O411" s="86" t="s">
        <v>59</v>
      </c>
      <c r="P411">
        <v>1</v>
      </c>
    </row>
    <row r="412" spans="1:16" customFormat="1" ht="15">
      <c r="A412" s="84" t="str">
        <f>LEFT(M412,4)</f>
        <v>6204</v>
      </c>
      <c r="B412" s="84" t="str">
        <f t="shared" si="6"/>
        <v>ПЛАТЬЕ Без товарного знака жен. Артикул 6023 цвет БИРЮЗОВЫЙ р. 56</v>
      </c>
      <c r="C412" s="69" t="s">
        <v>1690</v>
      </c>
      <c r="D412" s="69" t="s">
        <v>55</v>
      </c>
      <c r="E412" s="91">
        <v>6023</v>
      </c>
      <c r="F412" s="69" t="s">
        <v>1691</v>
      </c>
      <c r="G412" s="72" t="s">
        <v>111</v>
      </c>
      <c r="H412" s="69" t="s">
        <v>1692</v>
      </c>
      <c r="I412" s="69" t="s">
        <v>59</v>
      </c>
      <c r="J412" s="86">
        <v>56</v>
      </c>
      <c r="K412" s="86" t="s">
        <v>1765</v>
      </c>
      <c r="L412" s="86" t="s">
        <v>1765</v>
      </c>
      <c r="M412" s="73">
        <v>6204420000</v>
      </c>
      <c r="N412" s="7"/>
      <c r="O412" s="86" t="s">
        <v>59</v>
      </c>
      <c r="P412">
        <v>1</v>
      </c>
    </row>
    <row r="413" spans="1:16" customFormat="1" ht="15">
      <c r="A413" s="84" t="str">
        <f>LEFT(M413,4)</f>
        <v>6204</v>
      </c>
      <c r="B413" s="84" t="str">
        <f t="shared" si="6"/>
        <v>ПЛАТЬЕ Без товарного знака жен. Артикул 0040 цвет РАЗНОЦВЕТНЫЙ р. 48</v>
      </c>
      <c r="C413" s="69" t="s">
        <v>1690</v>
      </c>
      <c r="D413" s="69" t="s">
        <v>55</v>
      </c>
      <c r="E413" s="91" t="s">
        <v>1784</v>
      </c>
      <c r="F413" s="69" t="s">
        <v>1691</v>
      </c>
      <c r="G413" s="72" t="s">
        <v>229</v>
      </c>
      <c r="H413" s="69" t="s">
        <v>1692</v>
      </c>
      <c r="I413" s="69" t="s">
        <v>59</v>
      </c>
      <c r="J413" s="86">
        <v>48</v>
      </c>
      <c r="K413" s="86" t="s">
        <v>1744</v>
      </c>
      <c r="L413" s="86" t="s">
        <v>1744</v>
      </c>
      <c r="M413" s="73">
        <v>6204430000</v>
      </c>
      <c r="N413" s="7"/>
      <c r="O413" s="86" t="s">
        <v>94</v>
      </c>
      <c r="P413">
        <v>1</v>
      </c>
    </row>
    <row r="414" spans="1:16" customFormat="1" ht="15">
      <c r="A414" s="84" t="str">
        <f>LEFT(M414,4)</f>
        <v>6204</v>
      </c>
      <c r="B414" s="84" t="str">
        <f t="shared" si="6"/>
        <v>ПЛАТЬЕ Без товарного знака жен. Артикул 5670 цвет РАЗНОЦВЕТНЫЙ р. 46</v>
      </c>
      <c r="C414" s="69" t="s">
        <v>1690</v>
      </c>
      <c r="D414" s="69" t="s">
        <v>55</v>
      </c>
      <c r="E414" s="91" t="s">
        <v>1785</v>
      </c>
      <c r="F414" s="69" t="s">
        <v>1691</v>
      </c>
      <c r="G414" s="72" t="s">
        <v>229</v>
      </c>
      <c r="H414" s="69" t="s">
        <v>1692</v>
      </c>
      <c r="I414" s="69" t="s">
        <v>59</v>
      </c>
      <c r="J414" s="86">
        <v>46</v>
      </c>
      <c r="K414" s="86" t="s">
        <v>1693</v>
      </c>
      <c r="L414" s="86" t="s">
        <v>1693</v>
      </c>
      <c r="M414" s="73">
        <v>6204430000</v>
      </c>
      <c r="N414" s="7"/>
      <c r="O414" s="86" t="s">
        <v>582</v>
      </c>
      <c r="P414">
        <v>1</v>
      </c>
    </row>
    <row r="415" spans="1:16" customFormat="1" ht="15">
      <c r="A415" s="84" t="str">
        <f>LEFT(M415,4)</f>
        <v>6204</v>
      </c>
      <c r="B415" s="84" t="str">
        <f t="shared" si="6"/>
        <v>ПЛАТЬЕ Без товарного знака жен. Артикул 5670 цвет РАЗНОЦВЕТНЫЙ р. 48</v>
      </c>
      <c r="C415" s="69" t="s">
        <v>1690</v>
      </c>
      <c r="D415" s="69" t="s">
        <v>55</v>
      </c>
      <c r="E415" s="91" t="s">
        <v>1785</v>
      </c>
      <c r="F415" s="69" t="s">
        <v>1691</v>
      </c>
      <c r="G415" s="72" t="s">
        <v>229</v>
      </c>
      <c r="H415" s="69" t="s">
        <v>1692</v>
      </c>
      <c r="I415" s="69" t="s">
        <v>59</v>
      </c>
      <c r="J415" s="86">
        <v>48</v>
      </c>
      <c r="K415" s="86" t="s">
        <v>1693</v>
      </c>
      <c r="L415" s="86" t="s">
        <v>1693</v>
      </c>
      <c r="M415" s="73">
        <v>6204430000</v>
      </c>
      <c r="N415" s="7"/>
      <c r="O415" s="86" t="s">
        <v>582</v>
      </c>
      <c r="P415">
        <v>1</v>
      </c>
    </row>
    <row r="416" spans="1:16" customFormat="1" ht="15">
      <c r="A416" s="84" t="str">
        <f>LEFT(M416,4)</f>
        <v>6204</v>
      </c>
      <c r="B416" s="84" t="str">
        <f t="shared" si="6"/>
        <v>ПЛАТЬЕ Без товарного знака жен. Артикул 537 цвет РАЗНОЦВЕТНЫЙ р. 48</v>
      </c>
      <c r="C416" s="69" t="s">
        <v>1690</v>
      </c>
      <c r="D416" s="69" t="s">
        <v>55</v>
      </c>
      <c r="E416" s="91" t="s">
        <v>1786</v>
      </c>
      <c r="F416" s="69" t="s">
        <v>1691</v>
      </c>
      <c r="G416" s="72" t="s">
        <v>229</v>
      </c>
      <c r="H416" s="69" t="s">
        <v>1692</v>
      </c>
      <c r="I416" s="69" t="s">
        <v>59</v>
      </c>
      <c r="J416" s="86">
        <v>48</v>
      </c>
      <c r="K416" s="86" t="s">
        <v>1693</v>
      </c>
      <c r="L416" s="86" t="s">
        <v>1693</v>
      </c>
      <c r="M416" s="73">
        <v>6204430000</v>
      </c>
      <c r="N416" s="7"/>
      <c r="O416" s="86" t="s">
        <v>94</v>
      </c>
      <c r="P416">
        <v>1</v>
      </c>
    </row>
    <row r="417" spans="1:16" customFormat="1" ht="15">
      <c r="A417" s="84" t="str">
        <f>LEFT(M417,4)</f>
        <v>6204</v>
      </c>
      <c r="B417" s="84" t="str">
        <f t="shared" si="6"/>
        <v>ПЛАТЬЕ Без товарного знака жен. Артикул 537 цвет РАЗНОЦВЕТНЫЙ р. 50</v>
      </c>
      <c r="C417" s="69" t="s">
        <v>1690</v>
      </c>
      <c r="D417" s="69" t="s">
        <v>55</v>
      </c>
      <c r="E417" s="91" t="s">
        <v>1786</v>
      </c>
      <c r="F417" s="69" t="s">
        <v>1691</v>
      </c>
      <c r="G417" s="72" t="s">
        <v>229</v>
      </c>
      <c r="H417" s="69" t="s">
        <v>1692</v>
      </c>
      <c r="I417" s="69" t="s">
        <v>59</v>
      </c>
      <c r="J417" s="86">
        <v>50</v>
      </c>
      <c r="K417" s="86" t="s">
        <v>1693</v>
      </c>
      <c r="L417" s="86" t="s">
        <v>1693</v>
      </c>
      <c r="M417" s="73">
        <v>6204430000</v>
      </c>
      <c r="N417" s="7"/>
      <c r="O417" s="86" t="s">
        <v>94</v>
      </c>
      <c r="P417">
        <v>1</v>
      </c>
    </row>
    <row r="418" spans="1:16" customFormat="1" ht="15">
      <c r="A418" s="84" t="str">
        <f>LEFT(M418,4)</f>
        <v>6204</v>
      </c>
      <c r="B418" s="84" t="str">
        <f t="shared" si="6"/>
        <v>ПЛАТЬЕ Без товарного знака жен. Артикул 1023 цвет РАЗНОЦВЕТНЫЙ р. 46</v>
      </c>
      <c r="C418" s="69" t="s">
        <v>1690</v>
      </c>
      <c r="D418" s="69" t="s">
        <v>55</v>
      </c>
      <c r="E418" s="91" t="s">
        <v>1787</v>
      </c>
      <c r="F418" s="69" t="s">
        <v>1691</v>
      </c>
      <c r="G418" s="72" t="s">
        <v>229</v>
      </c>
      <c r="H418" s="69" t="s">
        <v>1692</v>
      </c>
      <c r="I418" s="69" t="s">
        <v>59</v>
      </c>
      <c r="J418" s="86">
        <v>46</v>
      </c>
      <c r="K418" s="86" t="s">
        <v>1693</v>
      </c>
      <c r="L418" s="86" t="s">
        <v>1693</v>
      </c>
      <c r="M418" s="73">
        <v>6204430000</v>
      </c>
      <c r="N418" s="7"/>
      <c r="O418" s="86" t="s">
        <v>94</v>
      </c>
      <c r="P418">
        <v>1</v>
      </c>
    </row>
    <row r="419" spans="1:16" customFormat="1" ht="15">
      <c r="A419" s="84" t="str">
        <f>LEFT(M419,4)</f>
        <v>6204</v>
      </c>
      <c r="B419" s="84" t="str">
        <f t="shared" si="6"/>
        <v>ПЛАТЬЕ Без товарного знака жен. Артикул 1023 цвет РАЗНОЦВЕТНЫЙ р. 48</v>
      </c>
      <c r="C419" s="69" t="s">
        <v>1690</v>
      </c>
      <c r="D419" s="69" t="s">
        <v>55</v>
      </c>
      <c r="E419" s="91" t="s">
        <v>1787</v>
      </c>
      <c r="F419" s="69" t="s">
        <v>1691</v>
      </c>
      <c r="G419" s="72" t="s">
        <v>229</v>
      </c>
      <c r="H419" s="69" t="s">
        <v>1692</v>
      </c>
      <c r="I419" s="69" t="s">
        <v>59</v>
      </c>
      <c r="J419" s="86">
        <v>48</v>
      </c>
      <c r="K419" s="86" t="s">
        <v>1693</v>
      </c>
      <c r="L419" s="86" t="s">
        <v>1693</v>
      </c>
      <c r="M419" s="73">
        <v>6204430000</v>
      </c>
      <c r="N419" s="7"/>
      <c r="O419" s="86" t="s">
        <v>94</v>
      </c>
      <c r="P419">
        <v>1</v>
      </c>
    </row>
    <row r="420" spans="1:16" customFormat="1" ht="15">
      <c r="A420" s="84" t="str">
        <f>LEFT(M420,4)</f>
        <v>6204</v>
      </c>
      <c r="B420" s="84" t="str">
        <f t="shared" si="6"/>
        <v>ПЛАТЬЕ Без товарного знака жен. Артикул 1023 цвет РАЗНОЦВЕТНЫЙ р. 50</v>
      </c>
      <c r="C420" s="69" t="s">
        <v>1690</v>
      </c>
      <c r="D420" s="69" t="s">
        <v>55</v>
      </c>
      <c r="E420" s="91" t="s">
        <v>1787</v>
      </c>
      <c r="F420" s="69" t="s">
        <v>1691</v>
      </c>
      <c r="G420" s="72" t="s">
        <v>229</v>
      </c>
      <c r="H420" s="69" t="s">
        <v>1692</v>
      </c>
      <c r="I420" s="69" t="s">
        <v>59</v>
      </c>
      <c r="J420" s="86">
        <v>50</v>
      </c>
      <c r="K420" s="86" t="s">
        <v>1693</v>
      </c>
      <c r="L420" s="86" t="s">
        <v>1693</v>
      </c>
      <c r="M420" s="73">
        <v>6204430000</v>
      </c>
      <c r="N420" s="7"/>
      <c r="O420" s="86" t="s">
        <v>94</v>
      </c>
      <c r="P420">
        <v>1</v>
      </c>
    </row>
    <row r="421" spans="1:16" customFormat="1" ht="15">
      <c r="A421" s="84" t="str">
        <f>LEFT(M421,4)</f>
        <v>6204</v>
      </c>
      <c r="B421" s="84" t="str">
        <f t="shared" si="6"/>
        <v>ПЛАТЬЕ Без товарного знака жен. Артикул 1023 цвет РАЗНОЦВЕТНЫЙ р. 52</v>
      </c>
      <c r="C421" s="69" t="s">
        <v>1690</v>
      </c>
      <c r="D421" s="69" t="s">
        <v>55</v>
      </c>
      <c r="E421" s="91" t="s">
        <v>1787</v>
      </c>
      <c r="F421" s="69" t="s">
        <v>1691</v>
      </c>
      <c r="G421" s="72" t="s">
        <v>229</v>
      </c>
      <c r="H421" s="69" t="s">
        <v>1692</v>
      </c>
      <c r="I421" s="69" t="s">
        <v>59</v>
      </c>
      <c r="J421" s="86">
        <v>52</v>
      </c>
      <c r="K421" s="86" t="s">
        <v>1693</v>
      </c>
      <c r="L421" s="86" t="s">
        <v>1693</v>
      </c>
      <c r="M421" s="73">
        <v>6204430000</v>
      </c>
      <c r="N421" s="7"/>
      <c r="O421" s="86" t="s">
        <v>94</v>
      </c>
      <c r="P421">
        <v>1</v>
      </c>
    </row>
    <row r="422" spans="1:16" customFormat="1" ht="15">
      <c r="A422" s="84" t="str">
        <f>LEFT(M422,4)</f>
        <v>6204</v>
      </c>
      <c r="B422" s="84" t="str">
        <f t="shared" si="6"/>
        <v>ПЛАТЬЕ Без товарного знака жен. Артикул 013 цвет РАЗНОЦВЕТНЫЙ р. 48</v>
      </c>
      <c r="C422" s="69" t="s">
        <v>1690</v>
      </c>
      <c r="D422" s="69" t="s">
        <v>55</v>
      </c>
      <c r="E422" s="91" t="s">
        <v>1788</v>
      </c>
      <c r="F422" s="69" t="s">
        <v>1691</v>
      </c>
      <c r="G422" s="72" t="s">
        <v>229</v>
      </c>
      <c r="H422" s="69" t="s">
        <v>1692</v>
      </c>
      <c r="I422" s="69" t="s">
        <v>59</v>
      </c>
      <c r="J422" s="86">
        <v>48</v>
      </c>
      <c r="K422" s="86" t="s">
        <v>1693</v>
      </c>
      <c r="L422" s="86" t="s">
        <v>1693</v>
      </c>
      <c r="M422" s="73">
        <v>6204430000</v>
      </c>
      <c r="N422" s="7"/>
      <c r="O422" s="86" t="s">
        <v>94</v>
      </c>
      <c r="P422">
        <v>1</v>
      </c>
    </row>
    <row r="423" spans="1:16" customFormat="1" ht="15">
      <c r="A423" s="84" t="str">
        <f>LEFT(M423,4)</f>
        <v>6204</v>
      </c>
      <c r="B423" s="84" t="str">
        <f t="shared" si="6"/>
        <v>ПЛАТЬЕ Без товарного знака жен. Артикул 013 цвет РАЗНОЦВЕТНЫЙ р. 50</v>
      </c>
      <c r="C423" s="69" t="s">
        <v>1690</v>
      </c>
      <c r="D423" s="69" t="s">
        <v>55</v>
      </c>
      <c r="E423" s="91" t="s">
        <v>1788</v>
      </c>
      <c r="F423" s="69" t="s">
        <v>1691</v>
      </c>
      <c r="G423" s="72" t="s">
        <v>229</v>
      </c>
      <c r="H423" s="69" t="s">
        <v>1692</v>
      </c>
      <c r="I423" s="69" t="s">
        <v>59</v>
      </c>
      <c r="J423" s="86">
        <v>50</v>
      </c>
      <c r="K423" s="86" t="s">
        <v>1693</v>
      </c>
      <c r="L423" s="86" t="s">
        <v>1693</v>
      </c>
      <c r="M423" s="73">
        <v>6204430000</v>
      </c>
      <c r="N423" s="7"/>
      <c r="O423" s="86" t="s">
        <v>94</v>
      </c>
      <c r="P423">
        <v>1</v>
      </c>
    </row>
    <row r="424" spans="1:16" customFormat="1" ht="15">
      <c r="A424" s="84" t="str">
        <f>LEFT(M424,4)</f>
        <v>6204</v>
      </c>
      <c r="B424" s="84" t="str">
        <f t="shared" si="6"/>
        <v>ПЛАТЬЕ Без товарного знака жен. Артикул 013 цвет РАЗНОЦВЕТНЫЙ р. 52</v>
      </c>
      <c r="C424" s="69" t="s">
        <v>1690</v>
      </c>
      <c r="D424" s="69" t="s">
        <v>55</v>
      </c>
      <c r="E424" s="91" t="s">
        <v>1788</v>
      </c>
      <c r="F424" s="69" t="s">
        <v>1691</v>
      </c>
      <c r="G424" s="72" t="s">
        <v>229</v>
      </c>
      <c r="H424" s="69" t="s">
        <v>1692</v>
      </c>
      <c r="I424" s="69" t="s">
        <v>59</v>
      </c>
      <c r="J424" s="86">
        <v>52</v>
      </c>
      <c r="K424" s="86" t="s">
        <v>1693</v>
      </c>
      <c r="L424" s="86" t="s">
        <v>1693</v>
      </c>
      <c r="M424" s="73">
        <v>6204430000</v>
      </c>
      <c r="N424" s="7"/>
      <c r="O424" s="86" t="s">
        <v>94</v>
      </c>
      <c r="P424">
        <v>1</v>
      </c>
    </row>
    <row r="425" spans="1:16" customFormat="1" ht="15">
      <c r="A425" s="84" t="str">
        <f>LEFT(M425,4)</f>
        <v>6204</v>
      </c>
      <c r="B425" s="84" t="str">
        <f t="shared" si="6"/>
        <v>ПЛАТЬЕ Без товарного знака жен. Артикул 013 цвет РАЗНОЦВЕТНЫЙ р. 54</v>
      </c>
      <c r="C425" s="69" t="s">
        <v>1690</v>
      </c>
      <c r="D425" s="69" t="s">
        <v>55</v>
      </c>
      <c r="E425" s="91" t="s">
        <v>1788</v>
      </c>
      <c r="F425" s="69" t="s">
        <v>1691</v>
      </c>
      <c r="G425" s="72" t="s">
        <v>229</v>
      </c>
      <c r="H425" s="69" t="s">
        <v>1692</v>
      </c>
      <c r="I425" s="69" t="s">
        <v>59</v>
      </c>
      <c r="J425" s="86">
        <v>54</v>
      </c>
      <c r="K425" s="86" t="s">
        <v>1693</v>
      </c>
      <c r="L425" s="86" t="s">
        <v>1693</v>
      </c>
      <c r="M425" s="73">
        <v>6204430000</v>
      </c>
      <c r="N425" s="7"/>
      <c r="O425" s="86" t="s">
        <v>94</v>
      </c>
      <c r="P425">
        <v>1</v>
      </c>
    </row>
    <row r="426" spans="1:16" customFormat="1" ht="15">
      <c r="A426" s="84" t="str">
        <f>LEFT(M426,4)</f>
        <v>6204</v>
      </c>
      <c r="B426" s="84" t="str">
        <f t="shared" si="6"/>
        <v>ПЛАТЬЕ Без товарного знака жен. Артикул 7449 цвет РАЗНОЦВЕТНЫЙ р. 48</v>
      </c>
      <c r="C426" s="69" t="s">
        <v>1690</v>
      </c>
      <c r="D426" s="69" t="s">
        <v>55</v>
      </c>
      <c r="E426" s="91" t="s">
        <v>1789</v>
      </c>
      <c r="F426" s="69" t="s">
        <v>1691</v>
      </c>
      <c r="G426" s="72" t="s">
        <v>229</v>
      </c>
      <c r="H426" s="69" t="s">
        <v>1692</v>
      </c>
      <c r="I426" s="69" t="s">
        <v>59</v>
      </c>
      <c r="J426" s="86">
        <v>48</v>
      </c>
      <c r="K426" s="86" t="s">
        <v>1693</v>
      </c>
      <c r="L426" s="86" t="s">
        <v>1693</v>
      </c>
      <c r="M426" s="73">
        <v>6204430000</v>
      </c>
      <c r="N426" s="7"/>
      <c r="O426" s="86" t="s">
        <v>94</v>
      </c>
      <c r="P426">
        <v>1</v>
      </c>
    </row>
    <row r="427" spans="1:16" customFormat="1" ht="15">
      <c r="A427" s="84" t="str">
        <f>LEFT(M427,4)</f>
        <v>6204</v>
      </c>
      <c r="B427" s="84" t="str">
        <f t="shared" si="6"/>
        <v>ПЛАТЬЕ Без товарного знака жен. Артикул 7449 цвет РАЗНОЦВЕТНЫЙ р. 50</v>
      </c>
      <c r="C427" s="69" t="s">
        <v>1690</v>
      </c>
      <c r="D427" s="69" t="s">
        <v>55</v>
      </c>
      <c r="E427" s="91" t="s">
        <v>1789</v>
      </c>
      <c r="F427" s="69" t="s">
        <v>1691</v>
      </c>
      <c r="G427" s="72" t="s">
        <v>229</v>
      </c>
      <c r="H427" s="69" t="s">
        <v>1692</v>
      </c>
      <c r="I427" s="69" t="s">
        <v>59</v>
      </c>
      <c r="J427" s="86">
        <v>50</v>
      </c>
      <c r="K427" s="86" t="s">
        <v>1693</v>
      </c>
      <c r="L427" s="86" t="s">
        <v>1693</v>
      </c>
      <c r="M427" s="73">
        <v>6204430000</v>
      </c>
      <c r="N427" s="7"/>
      <c r="O427" s="86" t="s">
        <v>94</v>
      </c>
      <c r="P427">
        <v>1</v>
      </c>
    </row>
    <row r="428" spans="1:16" customFormat="1" ht="15">
      <c r="A428" s="84" t="str">
        <f>LEFT(M428,4)</f>
        <v>6204</v>
      </c>
      <c r="B428" s="84" t="str">
        <f t="shared" si="6"/>
        <v>ПЛАТЬЕ Без товарного знака жен. Артикул 7449 цвет РАЗНОЦВЕТНЫЙ р. 54</v>
      </c>
      <c r="C428" s="69" t="s">
        <v>1690</v>
      </c>
      <c r="D428" s="69" t="s">
        <v>55</v>
      </c>
      <c r="E428" s="91" t="s">
        <v>1789</v>
      </c>
      <c r="F428" s="69" t="s">
        <v>1691</v>
      </c>
      <c r="G428" s="72" t="s">
        <v>229</v>
      </c>
      <c r="H428" s="69" t="s">
        <v>1692</v>
      </c>
      <c r="I428" s="69" t="s">
        <v>59</v>
      </c>
      <c r="J428" s="86">
        <v>54</v>
      </c>
      <c r="K428" s="86" t="s">
        <v>1693</v>
      </c>
      <c r="L428" s="86" t="s">
        <v>1693</v>
      </c>
      <c r="M428" s="73">
        <v>6204430000</v>
      </c>
      <c r="N428" s="7"/>
      <c r="O428" s="86" t="s">
        <v>94</v>
      </c>
      <c r="P428">
        <v>1</v>
      </c>
    </row>
    <row r="429" spans="1:16" customFormat="1" ht="15">
      <c r="A429" s="84" t="str">
        <f>LEFT(M429,4)</f>
        <v>6204</v>
      </c>
      <c r="B429" s="84" t="str">
        <f t="shared" si="6"/>
        <v>ПЛАТЬЕ Без товарного знака жен. Артикул 7538 цвет РАЗНОЦВЕТНЫЙ р. 48</v>
      </c>
      <c r="C429" s="69" t="s">
        <v>1690</v>
      </c>
      <c r="D429" s="69" t="s">
        <v>55</v>
      </c>
      <c r="E429" s="91" t="s">
        <v>1790</v>
      </c>
      <c r="F429" s="69" t="s">
        <v>1691</v>
      </c>
      <c r="G429" s="72" t="s">
        <v>229</v>
      </c>
      <c r="H429" s="69" t="s">
        <v>1692</v>
      </c>
      <c r="I429" s="69" t="s">
        <v>59</v>
      </c>
      <c r="J429" s="86">
        <v>48</v>
      </c>
      <c r="K429" s="86" t="s">
        <v>1693</v>
      </c>
      <c r="L429" s="86" t="s">
        <v>1693</v>
      </c>
      <c r="M429" s="73">
        <v>6204430000</v>
      </c>
      <c r="N429" s="7"/>
      <c r="O429" s="86" t="s">
        <v>94</v>
      </c>
      <c r="P429">
        <v>1</v>
      </c>
    </row>
    <row r="430" spans="1:16" customFormat="1" ht="15">
      <c r="A430" s="84" t="str">
        <f>LEFT(M430,4)</f>
        <v>6204</v>
      </c>
      <c r="B430" s="84" t="str">
        <f t="shared" si="6"/>
        <v>ПЛАТЬЕ Без товарного знака жен. Артикул 7538 цвет РАЗНОЦВЕТНЫЙ р. 52</v>
      </c>
      <c r="C430" s="69" t="s">
        <v>1690</v>
      </c>
      <c r="D430" s="69" t="s">
        <v>55</v>
      </c>
      <c r="E430" s="91" t="s">
        <v>1790</v>
      </c>
      <c r="F430" s="69" t="s">
        <v>1691</v>
      </c>
      <c r="G430" s="72" t="s">
        <v>229</v>
      </c>
      <c r="H430" s="69" t="s">
        <v>1692</v>
      </c>
      <c r="I430" s="69" t="s">
        <v>59</v>
      </c>
      <c r="J430" s="86">
        <v>52</v>
      </c>
      <c r="K430" s="86" t="s">
        <v>1693</v>
      </c>
      <c r="L430" s="86" t="s">
        <v>1693</v>
      </c>
      <c r="M430" s="73">
        <v>6204430000</v>
      </c>
      <c r="N430" s="7"/>
      <c r="O430" s="86" t="s">
        <v>94</v>
      </c>
      <c r="P430">
        <v>1</v>
      </c>
    </row>
    <row r="431" spans="1:16" customFormat="1" ht="15">
      <c r="A431" s="84" t="str">
        <f>LEFT(M431,4)</f>
        <v>6204</v>
      </c>
      <c r="B431" s="84" t="str">
        <f t="shared" ref="B431:B495" si="7">CONCATENATE(F431," ", C431," ",H431," ",D431," ", E431, " цвет ", G431, " р. ", J431)</f>
        <v>ПЛАТЬЕ Без товарного знака жен. Артикул 7538 цвет РАЗНОЦВЕТНЫЙ р. 54</v>
      </c>
      <c r="C431" s="69" t="s">
        <v>1690</v>
      </c>
      <c r="D431" s="69" t="s">
        <v>55</v>
      </c>
      <c r="E431" s="91" t="s">
        <v>1790</v>
      </c>
      <c r="F431" s="69" t="s">
        <v>1691</v>
      </c>
      <c r="G431" s="72" t="s">
        <v>229</v>
      </c>
      <c r="H431" s="69" t="s">
        <v>1692</v>
      </c>
      <c r="I431" s="69" t="s">
        <v>59</v>
      </c>
      <c r="J431" s="86">
        <v>54</v>
      </c>
      <c r="K431" s="86" t="s">
        <v>1693</v>
      </c>
      <c r="L431" s="86" t="s">
        <v>1693</v>
      </c>
      <c r="M431" s="73">
        <v>6204430000</v>
      </c>
      <c r="N431" s="7"/>
      <c r="O431" s="86" t="s">
        <v>94</v>
      </c>
      <c r="P431">
        <v>1</v>
      </c>
    </row>
    <row r="432" spans="1:16" customFormat="1" ht="15">
      <c r="A432" s="84" t="str">
        <f>LEFT(M432,4)</f>
        <v>6204</v>
      </c>
      <c r="B432" s="84" t="str">
        <f t="shared" si="7"/>
        <v>ПЛАТЬЕ Без товарного знака жен. Артикул 5674 цвет РАЗНОЦВЕТНЫЙ р. 48</v>
      </c>
      <c r="C432" s="69" t="s">
        <v>1690</v>
      </c>
      <c r="D432" s="69" t="s">
        <v>55</v>
      </c>
      <c r="E432" s="91" t="s">
        <v>1791</v>
      </c>
      <c r="F432" s="69" t="s">
        <v>1691</v>
      </c>
      <c r="G432" s="72" t="s">
        <v>229</v>
      </c>
      <c r="H432" s="69" t="s">
        <v>1692</v>
      </c>
      <c r="I432" s="69" t="s">
        <v>59</v>
      </c>
      <c r="J432" s="86">
        <v>48</v>
      </c>
      <c r="K432" s="86" t="s">
        <v>1693</v>
      </c>
      <c r="L432" s="86" t="s">
        <v>1693</v>
      </c>
      <c r="M432" s="73">
        <v>6204430000</v>
      </c>
      <c r="N432" s="7"/>
      <c r="O432" s="86" t="s">
        <v>94</v>
      </c>
      <c r="P432">
        <v>1</v>
      </c>
    </row>
    <row r="433" spans="1:16" customFormat="1" ht="15">
      <c r="A433" s="84" t="str">
        <f>LEFT(M433,4)</f>
        <v>6204</v>
      </c>
      <c r="B433" s="84" t="str">
        <f t="shared" si="7"/>
        <v>ПЛАТЬЕ Без товарного знака жен. Артикул 7632 цвет РАЗНОЦВЕТНЫЙ р. 48</v>
      </c>
      <c r="C433" s="69" t="s">
        <v>1690</v>
      </c>
      <c r="D433" s="69" t="s">
        <v>55</v>
      </c>
      <c r="E433" s="91" t="s">
        <v>1792</v>
      </c>
      <c r="F433" s="69" t="s">
        <v>1691</v>
      </c>
      <c r="G433" s="72" t="s">
        <v>229</v>
      </c>
      <c r="H433" s="69" t="s">
        <v>1692</v>
      </c>
      <c r="I433" s="69" t="s">
        <v>59</v>
      </c>
      <c r="J433" s="86">
        <v>48</v>
      </c>
      <c r="K433" s="86" t="s">
        <v>1793</v>
      </c>
      <c r="L433" s="86" t="s">
        <v>1793</v>
      </c>
      <c r="M433" s="73">
        <v>6204430000</v>
      </c>
      <c r="N433" s="7"/>
      <c r="O433" s="86" t="s">
        <v>582</v>
      </c>
      <c r="P433">
        <v>1</v>
      </c>
    </row>
    <row r="434" spans="1:16" customFormat="1" ht="15">
      <c r="A434" s="84" t="str">
        <f>LEFT(M434,4)</f>
        <v>6204</v>
      </c>
      <c r="B434" s="84" t="str">
        <f t="shared" si="7"/>
        <v>ПЛАТЬЕ Без товарного знака жен. Артикул 7632 цвет РАЗНОЦВЕТНЫЙ р. 50</v>
      </c>
      <c r="C434" s="69" t="s">
        <v>1690</v>
      </c>
      <c r="D434" s="69" t="s">
        <v>55</v>
      </c>
      <c r="E434" s="91" t="s">
        <v>1792</v>
      </c>
      <c r="F434" s="69" t="s">
        <v>1691</v>
      </c>
      <c r="G434" s="72" t="s">
        <v>229</v>
      </c>
      <c r="H434" s="69" t="s">
        <v>1692</v>
      </c>
      <c r="I434" s="69" t="s">
        <v>59</v>
      </c>
      <c r="J434" s="86">
        <v>50</v>
      </c>
      <c r="K434" s="86" t="s">
        <v>1793</v>
      </c>
      <c r="L434" s="86" t="s">
        <v>1793</v>
      </c>
      <c r="M434" s="73">
        <v>6204430000</v>
      </c>
      <c r="N434" s="7"/>
      <c r="O434" s="86" t="s">
        <v>94</v>
      </c>
      <c r="P434">
        <v>1</v>
      </c>
    </row>
    <row r="435" spans="1:16" customFormat="1" ht="15">
      <c r="A435" s="84" t="str">
        <f>LEFT(M435,4)</f>
        <v>6204</v>
      </c>
      <c r="B435" s="84" t="str">
        <f t="shared" si="7"/>
        <v>ПЛАТЬЕ Без товарного знака жен. Артикул 7632 цвет РАЗНОЦВЕТНЫЙ р. 52</v>
      </c>
      <c r="C435" s="69" t="s">
        <v>1690</v>
      </c>
      <c r="D435" s="69" t="s">
        <v>55</v>
      </c>
      <c r="E435" s="91" t="s">
        <v>1792</v>
      </c>
      <c r="F435" s="69" t="s">
        <v>1691</v>
      </c>
      <c r="G435" s="72" t="s">
        <v>229</v>
      </c>
      <c r="H435" s="69" t="s">
        <v>1692</v>
      </c>
      <c r="I435" s="69" t="s">
        <v>59</v>
      </c>
      <c r="J435" s="86">
        <v>52</v>
      </c>
      <c r="K435" s="86" t="s">
        <v>1793</v>
      </c>
      <c r="L435" s="86" t="s">
        <v>1793</v>
      </c>
      <c r="M435" s="73">
        <v>6204430000</v>
      </c>
      <c r="N435" s="7"/>
      <c r="O435" s="86" t="s">
        <v>94</v>
      </c>
      <c r="P435">
        <v>1</v>
      </c>
    </row>
    <row r="436" spans="1:16" customFormat="1" ht="15">
      <c r="A436" s="84" t="str">
        <f>LEFT(M436,4)</f>
        <v>6204</v>
      </c>
      <c r="B436" s="84" t="str">
        <f t="shared" si="7"/>
        <v>ПЛАТЬЕ Без товарного знака жен. Артикул 7632 цвет РАЗНОЦВЕТНЫЙ р. 54</v>
      </c>
      <c r="C436" s="69" t="s">
        <v>1690</v>
      </c>
      <c r="D436" s="69" t="s">
        <v>55</v>
      </c>
      <c r="E436" s="91" t="s">
        <v>1792</v>
      </c>
      <c r="F436" s="69" t="s">
        <v>1691</v>
      </c>
      <c r="G436" s="72" t="s">
        <v>229</v>
      </c>
      <c r="H436" s="69" t="s">
        <v>1692</v>
      </c>
      <c r="I436" s="69" t="s">
        <v>59</v>
      </c>
      <c r="J436" s="86">
        <v>54</v>
      </c>
      <c r="K436" s="86" t="s">
        <v>1793</v>
      </c>
      <c r="L436" s="86" t="s">
        <v>1793</v>
      </c>
      <c r="M436" s="73">
        <v>6204430000</v>
      </c>
      <c r="N436" s="7"/>
      <c r="O436" s="86" t="s">
        <v>94</v>
      </c>
      <c r="P436">
        <v>1</v>
      </c>
    </row>
    <row r="437" spans="1:16" customFormat="1" ht="15">
      <c r="A437" s="84" t="str">
        <f>LEFT(M437,4)</f>
        <v>6204</v>
      </c>
      <c r="B437" s="84" t="str">
        <f t="shared" si="7"/>
        <v>ПЛАТЬЕ Без товарного знака жен. Артикул 5461 цвет РАЗНОЦВЕТНЫЙ р. 48</v>
      </c>
      <c r="C437" s="69" t="s">
        <v>1690</v>
      </c>
      <c r="D437" s="69" t="s">
        <v>55</v>
      </c>
      <c r="E437" s="91" t="s">
        <v>1794</v>
      </c>
      <c r="F437" s="69" t="s">
        <v>1691</v>
      </c>
      <c r="G437" s="72" t="s">
        <v>229</v>
      </c>
      <c r="H437" s="69" t="s">
        <v>1692</v>
      </c>
      <c r="I437" s="69" t="s">
        <v>59</v>
      </c>
      <c r="J437" s="86">
        <v>48</v>
      </c>
      <c r="K437" s="86" t="s">
        <v>1795</v>
      </c>
      <c r="L437" s="86" t="s">
        <v>1795</v>
      </c>
      <c r="M437" s="73">
        <v>6204430000</v>
      </c>
      <c r="N437" s="7"/>
      <c r="O437" s="86" t="s">
        <v>94</v>
      </c>
      <c r="P437">
        <v>1</v>
      </c>
    </row>
    <row r="438" spans="1:16" customFormat="1" ht="15">
      <c r="A438" s="84" t="str">
        <f>LEFT(M438,4)</f>
        <v>6204</v>
      </c>
      <c r="B438" s="84" t="str">
        <f t="shared" si="7"/>
        <v>ПЛАТЬЕ Без товарного знака жен. Артикул 12248 цвет РАЗНОЦВЕТНЫЙ р. 48</v>
      </c>
      <c r="C438" s="69" t="s">
        <v>1690</v>
      </c>
      <c r="D438" s="69" t="s">
        <v>55</v>
      </c>
      <c r="E438" s="91" t="s">
        <v>1796</v>
      </c>
      <c r="F438" s="69" t="s">
        <v>1691</v>
      </c>
      <c r="G438" s="72" t="s">
        <v>229</v>
      </c>
      <c r="H438" s="69" t="s">
        <v>1692</v>
      </c>
      <c r="I438" s="69" t="s">
        <v>59</v>
      </c>
      <c r="J438" s="86">
        <v>48</v>
      </c>
      <c r="K438" s="86" t="s">
        <v>1693</v>
      </c>
      <c r="L438" s="86" t="s">
        <v>1693</v>
      </c>
      <c r="M438" s="73">
        <v>6204430000</v>
      </c>
      <c r="N438" s="7"/>
      <c r="O438" s="86" t="s">
        <v>94</v>
      </c>
      <c r="P438">
        <v>1</v>
      </c>
    </row>
    <row r="439" spans="1:16" customFormat="1" ht="15">
      <c r="A439" s="84" t="str">
        <f>LEFT(M439,4)</f>
        <v>6204</v>
      </c>
      <c r="B439" s="84" t="str">
        <f t="shared" si="7"/>
        <v>ПЛАТЬЕ Без товарного знака жен. Артикул 5379 цвет РАЗНОЦВЕТНЫЙ р. 48</v>
      </c>
      <c r="C439" s="69" t="s">
        <v>1690</v>
      </c>
      <c r="D439" s="69" t="s">
        <v>55</v>
      </c>
      <c r="E439" s="91" t="s">
        <v>1797</v>
      </c>
      <c r="F439" s="69" t="s">
        <v>1691</v>
      </c>
      <c r="G439" s="72" t="s">
        <v>229</v>
      </c>
      <c r="H439" s="69" t="s">
        <v>1692</v>
      </c>
      <c r="I439" s="69" t="s">
        <v>59</v>
      </c>
      <c r="J439" s="86">
        <v>48</v>
      </c>
      <c r="K439" s="86" t="s">
        <v>1693</v>
      </c>
      <c r="L439" s="86" t="s">
        <v>1693</v>
      </c>
      <c r="M439" s="73">
        <v>6204430000</v>
      </c>
      <c r="N439" s="7"/>
      <c r="O439" s="86" t="s">
        <v>94</v>
      </c>
      <c r="P439">
        <v>1</v>
      </c>
    </row>
    <row r="440" spans="1:16" customFormat="1" ht="15">
      <c r="A440" s="84" t="str">
        <f>LEFT(M440,4)</f>
        <v>6204</v>
      </c>
      <c r="B440" s="84" t="str">
        <f t="shared" si="7"/>
        <v>ПЛАТЬЕ Без товарного знака жен. Артикул 5379 цвет РАЗНОЦВЕТНЫЙ р. 50</v>
      </c>
      <c r="C440" s="69" t="s">
        <v>1690</v>
      </c>
      <c r="D440" s="69" t="s">
        <v>55</v>
      </c>
      <c r="E440" s="91" t="s">
        <v>1797</v>
      </c>
      <c r="F440" s="69" t="s">
        <v>1691</v>
      </c>
      <c r="G440" s="72" t="s">
        <v>229</v>
      </c>
      <c r="H440" s="69" t="s">
        <v>1692</v>
      </c>
      <c r="I440" s="69" t="s">
        <v>59</v>
      </c>
      <c r="J440" s="86">
        <v>50</v>
      </c>
      <c r="K440" s="86" t="s">
        <v>1693</v>
      </c>
      <c r="L440" s="86" t="s">
        <v>1693</v>
      </c>
      <c r="M440" s="73">
        <v>6204430000</v>
      </c>
      <c r="N440" s="7"/>
      <c r="O440" s="86" t="s">
        <v>94</v>
      </c>
      <c r="P440">
        <v>1</v>
      </c>
    </row>
    <row r="441" spans="1:16" customFormat="1" ht="15">
      <c r="A441" s="84" t="str">
        <f>LEFT(M441,4)</f>
        <v>6204</v>
      </c>
      <c r="B441" s="84" t="str">
        <f t="shared" si="7"/>
        <v>ПЛАТЬЕ Без товарного знака жен. Артикул 5379 цвет РАЗНОЦВЕТНЫЙ р. 52</v>
      </c>
      <c r="C441" s="69" t="s">
        <v>1690</v>
      </c>
      <c r="D441" s="69" t="s">
        <v>55</v>
      </c>
      <c r="E441" s="91" t="s">
        <v>1797</v>
      </c>
      <c r="F441" s="69" t="s">
        <v>1691</v>
      </c>
      <c r="G441" s="72" t="s">
        <v>229</v>
      </c>
      <c r="H441" s="69" t="s">
        <v>1692</v>
      </c>
      <c r="I441" s="69" t="s">
        <v>59</v>
      </c>
      <c r="J441" s="86">
        <v>52</v>
      </c>
      <c r="K441" s="86" t="s">
        <v>1693</v>
      </c>
      <c r="L441" s="86" t="s">
        <v>1693</v>
      </c>
      <c r="M441" s="73">
        <v>6204430000</v>
      </c>
      <c r="N441" s="7"/>
      <c r="O441" s="86" t="s">
        <v>94</v>
      </c>
      <c r="P441">
        <v>1</v>
      </c>
    </row>
    <row r="442" spans="1:16" customFormat="1" ht="15">
      <c r="A442" s="84" t="str">
        <f>LEFT(M442,4)</f>
        <v>6204</v>
      </c>
      <c r="B442" s="84" t="str">
        <f t="shared" si="7"/>
        <v>ПЛАТЬЕ Без товарного знака жен. Артикул 5815 цвет РАЗНОЦВЕТНЫЙ р. 48</v>
      </c>
      <c r="C442" s="69" t="s">
        <v>1690</v>
      </c>
      <c r="D442" s="69" t="s">
        <v>55</v>
      </c>
      <c r="E442" s="91" t="s">
        <v>1798</v>
      </c>
      <c r="F442" s="69" t="s">
        <v>1691</v>
      </c>
      <c r="G442" s="72" t="s">
        <v>229</v>
      </c>
      <c r="H442" s="69" t="s">
        <v>1692</v>
      </c>
      <c r="I442" s="69" t="s">
        <v>59</v>
      </c>
      <c r="J442" s="86">
        <v>48</v>
      </c>
      <c r="K442" s="86" t="s">
        <v>1765</v>
      </c>
      <c r="L442" s="86" t="s">
        <v>1765</v>
      </c>
      <c r="M442" s="73">
        <v>6204430000</v>
      </c>
      <c r="N442" s="7"/>
      <c r="O442" s="86" t="s">
        <v>94</v>
      </c>
      <c r="P442">
        <v>1</v>
      </c>
    </row>
    <row r="443" spans="1:16" customFormat="1" ht="15">
      <c r="A443" s="84" t="str">
        <f>LEFT(M443,4)</f>
        <v>6204</v>
      </c>
      <c r="B443" s="84" t="str">
        <f t="shared" si="7"/>
        <v>ПЛАТЬЕ Без товарного знака жен. Артикул 5815 цвет РАЗНОЦВЕТНЫЙ р. 50</v>
      </c>
      <c r="C443" s="69" t="s">
        <v>1690</v>
      </c>
      <c r="D443" s="69" t="s">
        <v>55</v>
      </c>
      <c r="E443" s="91" t="s">
        <v>1798</v>
      </c>
      <c r="F443" s="69" t="s">
        <v>1691</v>
      </c>
      <c r="G443" s="72" t="s">
        <v>229</v>
      </c>
      <c r="H443" s="69" t="s">
        <v>1692</v>
      </c>
      <c r="I443" s="69" t="s">
        <v>59</v>
      </c>
      <c r="J443" s="86">
        <v>50</v>
      </c>
      <c r="K443" s="86" t="s">
        <v>1765</v>
      </c>
      <c r="L443" s="86" t="s">
        <v>1765</v>
      </c>
      <c r="M443" s="73">
        <v>6204430000</v>
      </c>
      <c r="N443" s="7"/>
      <c r="O443" s="86" t="s">
        <v>94</v>
      </c>
      <c r="P443">
        <v>1</v>
      </c>
    </row>
    <row r="444" spans="1:16" customFormat="1" ht="15">
      <c r="A444" s="84" t="str">
        <f>LEFT(M444,4)</f>
        <v>6204</v>
      </c>
      <c r="B444" s="84" t="str">
        <f t="shared" si="7"/>
        <v>ПЛАТЬЕ Без товарного знака жен. Артикул 5815 цвет РАЗНОЦВЕТНЫЙ р. 52</v>
      </c>
      <c r="C444" s="69" t="s">
        <v>1690</v>
      </c>
      <c r="D444" s="69" t="s">
        <v>55</v>
      </c>
      <c r="E444" s="91" t="s">
        <v>1798</v>
      </c>
      <c r="F444" s="69" t="s">
        <v>1691</v>
      </c>
      <c r="G444" s="72" t="s">
        <v>229</v>
      </c>
      <c r="H444" s="69" t="s">
        <v>1692</v>
      </c>
      <c r="I444" s="69" t="s">
        <v>59</v>
      </c>
      <c r="J444" s="86">
        <v>52</v>
      </c>
      <c r="K444" s="86" t="s">
        <v>1765</v>
      </c>
      <c r="L444" s="86" t="s">
        <v>1765</v>
      </c>
      <c r="M444" s="73">
        <v>6204430000</v>
      </c>
      <c r="N444" s="7"/>
      <c r="O444" s="86" t="s">
        <v>94</v>
      </c>
      <c r="P444">
        <v>1</v>
      </c>
    </row>
    <row r="445" spans="1:16" customFormat="1" ht="15">
      <c r="A445" s="84" t="str">
        <f>LEFT(M445,4)</f>
        <v>6204</v>
      </c>
      <c r="B445" s="84" t="str">
        <f t="shared" si="7"/>
        <v>ПЛАТЬЕ Без товарного знака жен. Артикул 5815 цвет РАЗНОЦВЕТНЫЙ р. 54</v>
      </c>
      <c r="C445" s="69" t="s">
        <v>1690</v>
      </c>
      <c r="D445" s="69" t="s">
        <v>55</v>
      </c>
      <c r="E445" s="91" t="s">
        <v>1798</v>
      </c>
      <c r="F445" s="69" t="s">
        <v>1691</v>
      </c>
      <c r="G445" s="72" t="s">
        <v>229</v>
      </c>
      <c r="H445" s="69" t="s">
        <v>1692</v>
      </c>
      <c r="I445" s="69" t="s">
        <v>59</v>
      </c>
      <c r="J445" s="86">
        <v>54</v>
      </c>
      <c r="K445" s="86" t="s">
        <v>1765</v>
      </c>
      <c r="L445" s="86" t="s">
        <v>1765</v>
      </c>
      <c r="M445" s="73">
        <v>6204430000</v>
      </c>
      <c r="N445" s="7"/>
      <c r="O445" s="86" t="s">
        <v>94</v>
      </c>
      <c r="P445">
        <v>1</v>
      </c>
    </row>
    <row r="446" spans="1:16" customFormat="1" ht="15">
      <c r="A446" s="84" t="str">
        <f>LEFT(M446,4)</f>
        <v>6204</v>
      </c>
      <c r="B446" s="84" t="str">
        <f t="shared" si="7"/>
        <v>ПЛАТЬЕ Без товарного знака жен. Артикул 23197 цвет РАЗНОЦВЕТНЫЙ р. 42</v>
      </c>
      <c r="C446" s="69" t="s">
        <v>1690</v>
      </c>
      <c r="D446" s="69" t="s">
        <v>55</v>
      </c>
      <c r="E446" s="91" t="s">
        <v>1799</v>
      </c>
      <c r="F446" s="69" t="s">
        <v>1691</v>
      </c>
      <c r="G446" s="72" t="s">
        <v>229</v>
      </c>
      <c r="H446" s="69" t="s">
        <v>1692</v>
      </c>
      <c r="I446" s="69" t="s">
        <v>59</v>
      </c>
      <c r="J446" s="86">
        <v>42</v>
      </c>
      <c r="K446" s="86" t="s">
        <v>1800</v>
      </c>
      <c r="L446" s="86" t="s">
        <v>1800</v>
      </c>
      <c r="M446" s="73">
        <v>6204430000</v>
      </c>
      <c r="N446" s="7"/>
      <c r="O446" s="86" t="s">
        <v>94</v>
      </c>
      <c r="P446">
        <v>1</v>
      </c>
    </row>
    <row r="447" spans="1:16" customFormat="1" ht="15">
      <c r="A447" s="84" t="str">
        <f>LEFT(M447,4)</f>
        <v>6204</v>
      </c>
      <c r="B447" s="84" t="str">
        <f t="shared" si="7"/>
        <v>ПЛАТЬЕ Без товарного знака жен. Артикул 23197 цвет РАЗНОЦВЕТНЫЙ р. 44</v>
      </c>
      <c r="C447" s="69" t="s">
        <v>1690</v>
      </c>
      <c r="D447" s="69" t="s">
        <v>55</v>
      </c>
      <c r="E447" s="91" t="s">
        <v>1799</v>
      </c>
      <c r="F447" s="69" t="s">
        <v>1691</v>
      </c>
      <c r="G447" s="72" t="s">
        <v>229</v>
      </c>
      <c r="H447" s="69" t="s">
        <v>1692</v>
      </c>
      <c r="I447" s="69" t="s">
        <v>59</v>
      </c>
      <c r="J447" s="86">
        <v>44</v>
      </c>
      <c r="K447" s="86" t="s">
        <v>1800</v>
      </c>
      <c r="L447" s="86" t="s">
        <v>1800</v>
      </c>
      <c r="M447" s="73">
        <v>6204430000</v>
      </c>
      <c r="N447" s="7"/>
      <c r="O447" s="86" t="s">
        <v>94</v>
      </c>
      <c r="P447">
        <v>1</v>
      </c>
    </row>
    <row r="448" spans="1:16" customFormat="1" ht="15">
      <c r="A448" s="84" t="str">
        <f>LEFT(M448,4)</f>
        <v>6204</v>
      </c>
      <c r="B448" s="84" t="str">
        <f t="shared" si="7"/>
        <v>ПЛАТЬЕ Без товарного знака жен. Артикул 23197 цвет РАЗНОЦВЕТНЫЙ р. 46</v>
      </c>
      <c r="C448" s="69" t="s">
        <v>1690</v>
      </c>
      <c r="D448" s="69" t="s">
        <v>55</v>
      </c>
      <c r="E448" s="91" t="s">
        <v>1799</v>
      </c>
      <c r="F448" s="69" t="s">
        <v>1691</v>
      </c>
      <c r="G448" s="72" t="s">
        <v>229</v>
      </c>
      <c r="H448" s="69" t="s">
        <v>1692</v>
      </c>
      <c r="I448" s="69" t="s">
        <v>59</v>
      </c>
      <c r="J448" s="86">
        <v>46</v>
      </c>
      <c r="K448" s="86" t="s">
        <v>1800</v>
      </c>
      <c r="L448" s="86" t="s">
        <v>1800</v>
      </c>
      <c r="M448" s="73">
        <v>6204430000</v>
      </c>
      <c r="N448" s="7"/>
      <c r="O448" s="86" t="s">
        <v>94</v>
      </c>
      <c r="P448">
        <v>1</v>
      </c>
    </row>
    <row r="449" spans="1:16" customFormat="1" ht="15">
      <c r="A449" s="84" t="str">
        <f>LEFT(M449,4)</f>
        <v>6204</v>
      </c>
      <c r="B449" s="84" t="str">
        <f t="shared" si="7"/>
        <v>ПЛАТЬЕ Без товарного знака жен. Артикул 23197 цвет РАЗНОЦВЕТНЫЙ р. 48</v>
      </c>
      <c r="C449" s="69" t="s">
        <v>1690</v>
      </c>
      <c r="D449" s="69" t="s">
        <v>55</v>
      </c>
      <c r="E449" s="91" t="s">
        <v>1799</v>
      </c>
      <c r="F449" s="69" t="s">
        <v>1691</v>
      </c>
      <c r="G449" s="72" t="s">
        <v>229</v>
      </c>
      <c r="H449" s="69" t="s">
        <v>1692</v>
      </c>
      <c r="I449" s="69" t="s">
        <v>59</v>
      </c>
      <c r="J449" s="86">
        <v>48</v>
      </c>
      <c r="K449" s="86" t="s">
        <v>1800</v>
      </c>
      <c r="L449" s="86" t="s">
        <v>1800</v>
      </c>
      <c r="M449" s="73">
        <v>6204430000</v>
      </c>
      <c r="N449" s="7"/>
      <c r="O449" s="86" t="s">
        <v>94</v>
      </c>
      <c r="P449">
        <v>1</v>
      </c>
    </row>
    <row r="450" spans="1:16" customFormat="1" ht="15">
      <c r="A450" s="84" t="str">
        <f>LEFT(M450,4)</f>
        <v>6204</v>
      </c>
      <c r="B450" s="84" t="str">
        <f t="shared" si="7"/>
        <v>ПЛАТЬЕ Без товарного знака жен. Артикул 7441 цвет РАЗНОЦВЕТНЫЙ р. 48</v>
      </c>
      <c r="C450" s="69" t="s">
        <v>1690</v>
      </c>
      <c r="D450" s="69" t="s">
        <v>55</v>
      </c>
      <c r="E450" s="91" t="s">
        <v>1801</v>
      </c>
      <c r="F450" s="69" t="s">
        <v>1691</v>
      </c>
      <c r="G450" s="72" t="s">
        <v>229</v>
      </c>
      <c r="H450" s="69" t="s">
        <v>1692</v>
      </c>
      <c r="I450" s="69" t="s">
        <v>59</v>
      </c>
      <c r="J450" s="86">
        <v>48</v>
      </c>
      <c r="K450" s="86" t="s">
        <v>1800</v>
      </c>
      <c r="L450" s="86" t="s">
        <v>1800</v>
      </c>
      <c r="M450" s="73">
        <v>6204430000</v>
      </c>
      <c r="N450" s="7"/>
      <c r="O450" s="86" t="s">
        <v>94</v>
      </c>
      <c r="P450">
        <v>1</v>
      </c>
    </row>
    <row r="451" spans="1:16" customFormat="1" ht="15">
      <c r="A451" s="84" t="str">
        <f>LEFT(M451,4)</f>
        <v>6204</v>
      </c>
      <c r="B451" s="84" t="str">
        <f t="shared" si="7"/>
        <v>ПЛАТЬЕ Без товарного знака жен. Артикул 7441 цвет РАЗНОЦВЕТНЫЙ р. 50</v>
      </c>
      <c r="C451" s="69" t="s">
        <v>1690</v>
      </c>
      <c r="D451" s="69" t="s">
        <v>55</v>
      </c>
      <c r="E451" s="91" t="s">
        <v>1801</v>
      </c>
      <c r="F451" s="69" t="s">
        <v>1691</v>
      </c>
      <c r="G451" s="72" t="s">
        <v>229</v>
      </c>
      <c r="H451" s="69" t="s">
        <v>1692</v>
      </c>
      <c r="I451" s="69" t="s">
        <v>59</v>
      </c>
      <c r="J451" s="86">
        <v>50</v>
      </c>
      <c r="K451" s="86" t="s">
        <v>1800</v>
      </c>
      <c r="L451" s="86" t="s">
        <v>1800</v>
      </c>
      <c r="M451" s="73">
        <v>6204430000</v>
      </c>
      <c r="N451" s="7"/>
      <c r="O451" s="86" t="s">
        <v>94</v>
      </c>
      <c r="P451">
        <v>1</v>
      </c>
    </row>
    <row r="452" spans="1:16" customFormat="1" ht="15">
      <c r="A452" s="84" t="str">
        <f>LEFT(M452,4)</f>
        <v>6204</v>
      </c>
      <c r="B452" s="84" t="str">
        <f t="shared" si="7"/>
        <v>ПЛАТЬЕ Без товарного знака жен. Артикул 7441 цвет РАЗНОЦВЕТНЫЙ р. 52</v>
      </c>
      <c r="C452" s="69" t="s">
        <v>1690</v>
      </c>
      <c r="D452" s="69" t="s">
        <v>55</v>
      </c>
      <c r="E452" s="91" t="s">
        <v>1801</v>
      </c>
      <c r="F452" s="69" t="s">
        <v>1691</v>
      </c>
      <c r="G452" s="72" t="s">
        <v>229</v>
      </c>
      <c r="H452" s="69" t="s">
        <v>1692</v>
      </c>
      <c r="I452" s="69" t="s">
        <v>59</v>
      </c>
      <c r="J452" s="86">
        <v>52</v>
      </c>
      <c r="K452" s="86" t="s">
        <v>1800</v>
      </c>
      <c r="L452" s="86" t="s">
        <v>1800</v>
      </c>
      <c r="M452" s="73">
        <v>6204430000</v>
      </c>
      <c r="N452" s="7"/>
      <c r="O452" s="86" t="s">
        <v>94</v>
      </c>
      <c r="P452">
        <v>1</v>
      </c>
    </row>
    <row r="453" spans="1:16" customFormat="1" ht="15">
      <c r="A453" s="84" t="str">
        <f>LEFT(M453,4)</f>
        <v>6204</v>
      </c>
      <c r="B453" s="84" t="str">
        <f t="shared" si="7"/>
        <v>ПЛАТЬЕ Без товарного знака жен. Артикул 7441 цвет РАЗНОЦВЕТНЫЙ р. 54</v>
      </c>
      <c r="C453" s="69" t="s">
        <v>1690</v>
      </c>
      <c r="D453" s="69" t="s">
        <v>55</v>
      </c>
      <c r="E453" s="91" t="s">
        <v>1801</v>
      </c>
      <c r="F453" s="69" t="s">
        <v>1691</v>
      </c>
      <c r="G453" s="72" t="s">
        <v>229</v>
      </c>
      <c r="H453" s="69" t="s">
        <v>1692</v>
      </c>
      <c r="I453" s="69" t="s">
        <v>59</v>
      </c>
      <c r="J453" s="86">
        <v>54</v>
      </c>
      <c r="K453" s="86" t="s">
        <v>1800</v>
      </c>
      <c r="L453" s="86" t="s">
        <v>1800</v>
      </c>
      <c r="M453" s="73">
        <v>6204430000</v>
      </c>
      <c r="N453" s="7"/>
      <c r="O453" s="86" t="s">
        <v>94</v>
      </c>
      <c r="P453">
        <v>1</v>
      </c>
    </row>
    <row r="454" spans="1:16" customFormat="1" ht="15">
      <c r="A454" s="84" t="str">
        <f>LEFT(M454,4)</f>
        <v>6204</v>
      </c>
      <c r="B454" s="84" t="str">
        <f t="shared" si="7"/>
        <v>ПЛАТЬЕ Без товарного знака жен. Артикул 7488 цвет РАЗНОЦВЕТНЫЙ р. 50</v>
      </c>
      <c r="C454" s="69" t="s">
        <v>1690</v>
      </c>
      <c r="D454" s="69" t="s">
        <v>55</v>
      </c>
      <c r="E454" s="91" t="s">
        <v>1802</v>
      </c>
      <c r="F454" s="69" t="s">
        <v>1691</v>
      </c>
      <c r="G454" s="72" t="s">
        <v>229</v>
      </c>
      <c r="H454" s="69" t="s">
        <v>1692</v>
      </c>
      <c r="I454" s="69" t="s">
        <v>59</v>
      </c>
      <c r="J454" s="86">
        <v>50</v>
      </c>
      <c r="K454" s="86" t="s">
        <v>1693</v>
      </c>
      <c r="L454" s="86" t="s">
        <v>1693</v>
      </c>
      <c r="M454" s="73">
        <v>6204430000</v>
      </c>
      <c r="N454" s="7"/>
      <c r="O454" s="86" t="s">
        <v>94</v>
      </c>
      <c r="P454">
        <v>1</v>
      </c>
    </row>
    <row r="455" spans="1:16" customFormat="1" ht="15">
      <c r="A455" s="84" t="str">
        <f>LEFT(M455,4)</f>
        <v>6204</v>
      </c>
      <c r="B455" s="84" t="str">
        <f t="shared" si="7"/>
        <v>ПЛАТЬЕ Без товарного знака жен. Артикул 7488 цвет РАЗНОЦВЕТНЫЙ р. 52</v>
      </c>
      <c r="C455" s="69" t="s">
        <v>1690</v>
      </c>
      <c r="D455" s="69" t="s">
        <v>55</v>
      </c>
      <c r="E455" s="91" t="s">
        <v>1802</v>
      </c>
      <c r="F455" s="69" t="s">
        <v>1691</v>
      </c>
      <c r="G455" s="72" t="s">
        <v>229</v>
      </c>
      <c r="H455" s="69" t="s">
        <v>1692</v>
      </c>
      <c r="I455" s="69" t="s">
        <v>59</v>
      </c>
      <c r="J455" s="86">
        <v>52</v>
      </c>
      <c r="K455" s="86" t="s">
        <v>1693</v>
      </c>
      <c r="L455" s="86" t="s">
        <v>1693</v>
      </c>
      <c r="M455" s="73">
        <v>6204430000</v>
      </c>
      <c r="N455" s="7"/>
      <c r="O455" s="86" t="s">
        <v>94</v>
      </c>
      <c r="P455">
        <v>1</v>
      </c>
    </row>
    <row r="456" spans="1:16" customFormat="1" ht="15">
      <c r="A456" s="84" t="str">
        <f>LEFT(M456,4)</f>
        <v>6204</v>
      </c>
      <c r="B456" s="84" t="str">
        <f t="shared" si="7"/>
        <v>ПЛАТЬЕ Без товарного знака жен. Артикул 4870 цвет РАЗНОЦВЕТНЫЙ р. 48</v>
      </c>
      <c r="C456" s="69" t="s">
        <v>1690</v>
      </c>
      <c r="D456" s="69" t="s">
        <v>55</v>
      </c>
      <c r="E456" s="91" t="s">
        <v>1803</v>
      </c>
      <c r="F456" s="69" t="s">
        <v>1691</v>
      </c>
      <c r="G456" s="72" t="s">
        <v>229</v>
      </c>
      <c r="H456" s="69" t="s">
        <v>1692</v>
      </c>
      <c r="I456" s="69" t="s">
        <v>59</v>
      </c>
      <c r="J456" s="86">
        <v>48</v>
      </c>
      <c r="K456" s="86" t="s">
        <v>1804</v>
      </c>
      <c r="L456" s="86" t="s">
        <v>1804</v>
      </c>
      <c r="M456" s="73">
        <v>6204430000</v>
      </c>
      <c r="N456" s="7"/>
      <c r="O456" s="86" t="s">
        <v>94</v>
      </c>
      <c r="P456">
        <v>1</v>
      </c>
    </row>
    <row r="457" spans="1:16" customFormat="1" ht="15">
      <c r="A457" s="84" t="str">
        <f>LEFT(M457,4)</f>
        <v>6204</v>
      </c>
      <c r="B457" s="84" t="str">
        <f t="shared" si="7"/>
        <v>ПЛАТЬЕ Без товарного знака жен. Артикул 7159 цвет РАЗНОЦВЕТНЫЙ р. 56</v>
      </c>
      <c r="C457" s="69" t="s">
        <v>1690</v>
      </c>
      <c r="D457" s="69" t="s">
        <v>55</v>
      </c>
      <c r="E457" s="91" t="s">
        <v>1805</v>
      </c>
      <c r="F457" s="69" t="s">
        <v>1691</v>
      </c>
      <c r="G457" s="72" t="s">
        <v>229</v>
      </c>
      <c r="H457" s="69" t="s">
        <v>1692</v>
      </c>
      <c r="I457" s="69" t="s">
        <v>59</v>
      </c>
      <c r="J457" s="86">
        <v>56</v>
      </c>
      <c r="K457" s="86" t="s">
        <v>1693</v>
      </c>
      <c r="L457" s="86" t="s">
        <v>1693</v>
      </c>
      <c r="M457" s="73">
        <v>6204430000</v>
      </c>
      <c r="N457" s="7"/>
      <c r="O457" s="86" t="s">
        <v>94</v>
      </c>
      <c r="P457">
        <v>1</v>
      </c>
    </row>
    <row r="458" spans="1:16" customFormat="1" ht="15">
      <c r="A458" s="84" t="str">
        <f>LEFT(M458,4)</f>
        <v>6204</v>
      </c>
      <c r="B458" s="84" t="str">
        <f t="shared" si="7"/>
        <v>ПЛАТЬЕ Без товарного знака жен. Артикул 7474 цвет РАЗНОЦВЕТНЫЙ р. 50</v>
      </c>
      <c r="C458" s="69" t="s">
        <v>1690</v>
      </c>
      <c r="D458" s="69" t="s">
        <v>55</v>
      </c>
      <c r="E458" s="91" t="s">
        <v>1806</v>
      </c>
      <c r="F458" s="69" t="s">
        <v>1691</v>
      </c>
      <c r="G458" s="72" t="s">
        <v>229</v>
      </c>
      <c r="H458" s="69" t="s">
        <v>1692</v>
      </c>
      <c r="I458" s="69" t="s">
        <v>59</v>
      </c>
      <c r="J458" s="86">
        <v>50</v>
      </c>
      <c r="K458" s="86" t="s">
        <v>1693</v>
      </c>
      <c r="L458" s="86" t="s">
        <v>1693</v>
      </c>
      <c r="M458" s="73">
        <v>6204430000</v>
      </c>
      <c r="N458" s="7"/>
      <c r="O458" s="86" t="s">
        <v>94</v>
      </c>
      <c r="P458">
        <v>1</v>
      </c>
    </row>
    <row r="459" spans="1:16" customFormat="1" ht="15">
      <c r="A459" s="84" t="str">
        <f>LEFT(M459,4)</f>
        <v>6204</v>
      </c>
      <c r="B459" s="84" t="str">
        <f t="shared" si="7"/>
        <v>ПЛАТЬЕ Без товарного знака жен. Артикул 7474 цвет РАЗНОЦВЕТНЫЙ р. 52</v>
      </c>
      <c r="C459" s="69" t="s">
        <v>1690</v>
      </c>
      <c r="D459" s="69" t="s">
        <v>55</v>
      </c>
      <c r="E459" s="91" t="s">
        <v>1806</v>
      </c>
      <c r="F459" s="69" t="s">
        <v>1691</v>
      </c>
      <c r="G459" s="72" t="s">
        <v>229</v>
      </c>
      <c r="H459" s="69" t="s">
        <v>1692</v>
      </c>
      <c r="I459" s="69" t="s">
        <v>59</v>
      </c>
      <c r="J459" s="86">
        <v>52</v>
      </c>
      <c r="K459" s="86" t="s">
        <v>1693</v>
      </c>
      <c r="L459" s="86" t="s">
        <v>1693</v>
      </c>
      <c r="M459" s="73">
        <v>6204430000</v>
      </c>
      <c r="N459" s="7"/>
      <c r="O459" s="86" t="s">
        <v>94</v>
      </c>
      <c r="P459">
        <v>1</v>
      </c>
    </row>
    <row r="460" spans="1:16" customFormat="1" ht="15">
      <c r="A460" s="84" t="str">
        <f>LEFT(M460,4)</f>
        <v>6204</v>
      </c>
      <c r="B460" s="84" t="str">
        <f t="shared" si="7"/>
        <v>ПЛАТЬЕ Без товарного знака жен. Артикул 7474 цвет РАЗНОЦВЕТНЫЙ р. 54</v>
      </c>
      <c r="C460" s="69" t="s">
        <v>1690</v>
      </c>
      <c r="D460" s="69" t="s">
        <v>55</v>
      </c>
      <c r="E460" s="91" t="s">
        <v>1806</v>
      </c>
      <c r="F460" s="69" t="s">
        <v>1691</v>
      </c>
      <c r="G460" s="72" t="s">
        <v>229</v>
      </c>
      <c r="H460" s="69" t="s">
        <v>1692</v>
      </c>
      <c r="I460" s="69" t="s">
        <v>59</v>
      </c>
      <c r="J460" s="86">
        <v>54</v>
      </c>
      <c r="K460" s="86" t="s">
        <v>1693</v>
      </c>
      <c r="L460" s="86" t="s">
        <v>1693</v>
      </c>
      <c r="M460" s="73">
        <v>6204430000</v>
      </c>
      <c r="N460" s="7"/>
      <c r="O460" s="86" t="s">
        <v>94</v>
      </c>
      <c r="P460">
        <v>1</v>
      </c>
    </row>
    <row r="461" spans="1:16" customFormat="1" ht="15">
      <c r="A461" s="84" t="str">
        <f>LEFT(M461,4)</f>
        <v>6204</v>
      </c>
      <c r="B461" s="84" t="str">
        <f t="shared" si="7"/>
        <v>ПЛАТЬЕ Без товарного знака жен. Артикул 7474 цвет РАЗНОЦВЕТНЫЙ р. 56</v>
      </c>
      <c r="C461" s="69" t="s">
        <v>1690</v>
      </c>
      <c r="D461" s="69" t="s">
        <v>55</v>
      </c>
      <c r="E461" s="91" t="s">
        <v>1806</v>
      </c>
      <c r="F461" s="69" t="s">
        <v>1691</v>
      </c>
      <c r="G461" s="72" t="s">
        <v>229</v>
      </c>
      <c r="H461" s="69" t="s">
        <v>1692</v>
      </c>
      <c r="I461" s="69" t="s">
        <v>59</v>
      </c>
      <c r="J461" s="86">
        <v>56</v>
      </c>
      <c r="K461" s="86" t="s">
        <v>1693</v>
      </c>
      <c r="L461" s="86" t="s">
        <v>1693</v>
      </c>
      <c r="M461" s="73">
        <v>6204430000</v>
      </c>
      <c r="N461" s="7"/>
      <c r="O461" s="86" t="s">
        <v>94</v>
      </c>
      <c r="P461">
        <v>1</v>
      </c>
    </row>
    <row r="462" spans="1:16" customFormat="1" ht="15">
      <c r="A462" s="84" t="str">
        <f>LEFT(M462,4)</f>
        <v>6204</v>
      </c>
      <c r="B462" s="84" t="str">
        <f t="shared" si="7"/>
        <v>ПЛАТЬЕ Без товарного знака жен. Артикул 7527 цвет РАЗНОЦВЕТНЫЙ р. 48</v>
      </c>
      <c r="C462" s="69" t="s">
        <v>1690</v>
      </c>
      <c r="D462" s="69" t="s">
        <v>55</v>
      </c>
      <c r="E462" s="91" t="s">
        <v>1807</v>
      </c>
      <c r="F462" s="69" t="s">
        <v>1691</v>
      </c>
      <c r="G462" s="72" t="s">
        <v>229</v>
      </c>
      <c r="H462" s="69" t="s">
        <v>1692</v>
      </c>
      <c r="I462" s="69" t="s">
        <v>59</v>
      </c>
      <c r="J462" s="86">
        <v>48</v>
      </c>
      <c r="K462" s="86" t="s">
        <v>1693</v>
      </c>
      <c r="L462" s="86" t="s">
        <v>1693</v>
      </c>
      <c r="M462" s="73">
        <v>6204430000</v>
      </c>
      <c r="N462" s="7"/>
      <c r="O462" s="86" t="s">
        <v>94</v>
      </c>
      <c r="P462">
        <v>1</v>
      </c>
    </row>
    <row r="463" spans="1:16" customFormat="1" ht="15">
      <c r="A463" s="84" t="str">
        <f>LEFT(M463,4)</f>
        <v>6204</v>
      </c>
      <c r="B463" s="84" t="str">
        <f t="shared" si="7"/>
        <v>ПЛАТЬЕ Без товарного знака жен. Артикул 7527 цвет РАЗНОЦВЕТНЫЙ р. 50</v>
      </c>
      <c r="C463" s="69" t="s">
        <v>1690</v>
      </c>
      <c r="D463" s="69" t="s">
        <v>55</v>
      </c>
      <c r="E463" s="91" t="s">
        <v>1807</v>
      </c>
      <c r="F463" s="69" t="s">
        <v>1691</v>
      </c>
      <c r="G463" s="72" t="s">
        <v>229</v>
      </c>
      <c r="H463" s="69" t="s">
        <v>1692</v>
      </c>
      <c r="I463" s="69" t="s">
        <v>59</v>
      </c>
      <c r="J463" s="86">
        <v>50</v>
      </c>
      <c r="K463" s="86" t="s">
        <v>1693</v>
      </c>
      <c r="L463" s="86" t="s">
        <v>1693</v>
      </c>
      <c r="M463" s="73">
        <v>6204430000</v>
      </c>
      <c r="N463" s="7"/>
      <c r="O463" s="86" t="s">
        <v>94</v>
      </c>
      <c r="P463">
        <v>1</v>
      </c>
    </row>
    <row r="464" spans="1:16" customFormat="1" ht="15">
      <c r="A464" s="84" t="str">
        <f>LEFT(M464,4)</f>
        <v>6204</v>
      </c>
      <c r="B464" s="84" t="str">
        <f t="shared" si="7"/>
        <v>ПЛАТЬЕ Без товарного знака жен. Артикул 7527 цвет РАЗНОЦВЕТНЫЙ р. 52</v>
      </c>
      <c r="C464" s="69" t="s">
        <v>1690</v>
      </c>
      <c r="D464" s="69" t="s">
        <v>55</v>
      </c>
      <c r="E464" s="91" t="s">
        <v>1807</v>
      </c>
      <c r="F464" s="69" t="s">
        <v>1691</v>
      </c>
      <c r="G464" s="72" t="s">
        <v>229</v>
      </c>
      <c r="H464" s="69" t="s">
        <v>1692</v>
      </c>
      <c r="I464" s="69" t="s">
        <v>59</v>
      </c>
      <c r="J464" s="86">
        <v>52</v>
      </c>
      <c r="K464" s="86" t="s">
        <v>1693</v>
      </c>
      <c r="L464" s="86" t="s">
        <v>1693</v>
      </c>
      <c r="M464" s="73">
        <v>6204430000</v>
      </c>
      <c r="N464" s="7"/>
      <c r="O464" s="86" t="s">
        <v>94</v>
      </c>
      <c r="P464">
        <v>1</v>
      </c>
    </row>
    <row r="465" spans="1:16" customFormat="1" ht="15">
      <c r="A465" s="84" t="str">
        <f>LEFT(M465,4)</f>
        <v>6204</v>
      </c>
      <c r="B465" s="84" t="str">
        <f t="shared" si="7"/>
        <v>ПЛАТЬЕ Без товарного знака жен. Артикул 7527 цвет РАЗНОЦВЕТНЫЙ р. 54</v>
      </c>
      <c r="C465" s="69" t="s">
        <v>1690</v>
      </c>
      <c r="D465" s="69" t="s">
        <v>55</v>
      </c>
      <c r="E465" s="91" t="s">
        <v>1807</v>
      </c>
      <c r="F465" s="69" t="s">
        <v>1691</v>
      </c>
      <c r="G465" s="72" t="s">
        <v>229</v>
      </c>
      <c r="H465" s="69" t="s">
        <v>1692</v>
      </c>
      <c r="I465" s="69" t="s">
        <v>59</v>
      </c>
      <c r="J465" s="86">
        <v>54</v>
      </c>
      <c r="K465" s="86" t="s">
        <v>1693</v>
      </c>
      <c r="L465" s="86" t="s">
        <v>1693</v>
      </c>
      <c r="M465" s="73">
        <v>6204430000</v>
      </c>
      <c r="N465" s="7"/>
      <c r="O465" s="86" t="s">
        <v>94</v>
      </c>
      <c r="P465">
        <v>1</v>
      </c>
    </row>
    <row r="466" spans="1:16" customFormat="1" ht="15">
      <c r="A466" s="84" t="str">
        <f>LEFT(M466,4)</f>
        <v>6204</v>
      </c>
      <c r="B466" s="84" t="str">
        <f t="shared" si="7"/>
        <v>ПЛАТЬЕ Без товарного знака жен. Артикул 6050 цвет РАЗНОЦВЕТНЫЙ р. 50</v>
      </c>
      <c r="C466" s="69" t="s">
        <v>1690</v>
      </c>
      <c r="D466" s="69" t="s">
        <v>55</v>
      </c>
      <c r="E466" s="91" t="s">
        <v>1808</v>
      </c>
      <c r="F466" s="69" t="s">
        <v>1691</v>
      </c>
      <c r="G466" s="72" t="s">
        <v>229</v>
      </c>
      <c r="H466" s="69" t="s">
        <v>1692</v>
      </c>
      <c r="I466" s="69" t="s">
        <v>59</v>
      </c>
      <c r="J466" s="86">
        <v>50</v>
      </c>
      <c r="K466" s="86" t="s">
        <v>1693</v>
      </c>
      <c r="L466" s="86" t="s">
        <v>1693</v>
      </c>
      <c r="M466" s="73">
        <v>6204430000</v>
      </c>
      <c r="N466" s="7"/>
      <c r="O466" s="86" t="s">
        <v>94</v>
      </c>
      <c r="P466">
        <v>1</v>
      </c>
    </row>
    <row r="467" spans="1:16" customFormat="1" ht="15">
      <c r="A467" s="84" t="str">
        <f>LEFT(M467,4)</f>
        <v>6204</v>
      </c>
      <c r="B467" s="84" t="str">
        <f t="shared" si="7"/>
        <v>ПЛАТЬЕ Без товарного знака жен. Артикул 6050 цвет РАЗНОЦВЕТНЫЙ р. 54</v>
      </c>
      <c r="C467" s="69" t="s">
        <v>1690</v>
      </c>
      <c r="D467" s="69" t="s">
        <v>55</v>
      </c>
      <c r="E467" s="91" t="s">
        <v>1808</v>
      </c>
      <c r="F467" s="69" t="s">
        <v>1691</v>
      </c>
      <c r="G467" s="72" t="s">
        <v>229</v>
      </c>
      <c r="H467" s="69" t="s">
        <v>1692</v>
      </c>
      <c r="I467" s="69" t="s">
        <v>59</v>
      </c>
      <c r="J467" s="86">
        <v>54</v>
      </c>
      <c r="K467" s="86" t="s">
        <v>1693</v>
      </c>
      <c r="L467" s="86" t="s">
        <v>1693</v>
      </c>
      <c r="M467" s="73">
        <v>6204430000</v>
      </c>
      <c r="N467" s="7"/>
      <c r="O467" s="86" t="s">
        <v>94</v>
      </c>
      <c r="P467">
        <v>1</v>
      </c>
    </row>
    <row r="468" spans="1:16" customFormat="1" ht="15">
      <c r="A468" s="84" t="str">
        <f>LEFT(M468,4)</f>
        <v>6204</v>
      </c>
      <c r="B468" s="84" t="str">
        <f t="shared" si="7"/>
        <v>ПЛАТЬЕ Без товарного знака жен. Артикул 7555 цвет РАЗНОЦВЕТНЫЙ р. 50</v>
      </c>
      <c r="C468" s="69" t="s">
        <v>1690</v>
      </c>
      <c r="D468" s="69" t="s">
        <v>55</v>
      </c>
      <c r="E468" s="91" t="s">
        <v>1809</v>
      </c>
      <c r="F468" s="69" t="s">
        <v>1691</v>
      </c>
      <c r="G468" s="72" t="s">
        <v>229</v>
      </c>
      <c r="H468" s="69" t="s">
        <v>1692</v>
      </c>
      <c r="I468" s="69" t="s">
        <v>59</v>
      </c>
      <c r="J468" s="86">
        <v>50</v>
      </c>
      <c r="K468" s="86" t="s">
        <v>1765</v>
      </c>
      <c r="L468" s="86" t="s">
        <v>1765</v>
      </c>
      <c r="M468" s="73">
        <v>6204440000</v>
      </c>
      <c r="N468" s="7"/>
      <c r="O468" s="86" t="s">
        <v>94</v>
      </c>
      <c r="P468">
        <v>1</v>
      </c>
    </row>
    <row r="469" spans="1:16" customFormat="1" ht="15">
      <c r="A469" s="84" t="str">
        <f>LEFT(M469,4)</f>
        <v>6204</v>
      </c>
      <c r="B469" s="84" t="str">
        <f t="shared" si="7"/>
        <v>ПЛАТЬЕ Без товарного знака жен. Артикул 7555 цвет РАЗНОЦВЕТНЫЙ р. 52</v>
      </c>
      <c r="C469" s="69" t="s">
        <v>1690</v>
      </c>
      <c r="D469" s="69" t="s">
        <v>55</v>
      </c>
      <c r="E469" s="91" t="s">
        <v>1809</v>
      </c>
      <c r="F469" s="69" t="s">
        <v>1691</v>
      </c>
      <c r="G469" s="72" t="s">
        <v>229</v>
      </c>
      <c r="H469" s="69" t="s">
        <v>1692</v>
      </c>
      <c r="I469" s="69" t="s">
        <v>59</v>
      </c>
      <c r="J469" s="86">
        <v>52</v>
      </c>
      <c r="K469" s="86" t="s">
        <v>1765</v>
      </c>
      <c r="L469" s="86" t="s">
        <v>1765</v>
      </c>
      <c r="M469" s="73">
        <v>6204440000</v>
      </c>
      <c r="N469" s="7"/>
      <c r="O469" s="86" t="s">
        <v>94</v>
      </c>
      <c r="P469">
        <v>1</v>
      </c>
    </row>
    <row r="470" spans="1:16" customFormat="1" ht="15">
      <c r="A470" s="84" t="str">
        <f>LEFT(M470,4)</f>
        <v>6204</v>
      </c>
      <c r="B470" s="84" t="str">
        <f t="shared" si="7"/>
        <v>ПЛАТЬЕ Без товарного знака жен. Артикул 7555 цвет РАЗНОЦВЕТНЫЙ р. 54</v>
      </c>
      <c r="C470" s="69" t="s">
        <v>1690</v>
      </c>
      <c r="D470" s="69" t="s">
        <v>55</v>
      </c>
      <c r="E470" s="91" t="s">
        <v>1809</v>
      </c>
      <c r="F470" s="69" t="s">
        <v>1691</v>
      </c>
      <c r="G470" s="72" t="s">
        <v>229</v>
      </c>
      <c r="H470" s="69" t="s">
        <v>1692</v>
      </c>
      <c r="I470" s="69" t="s">
        <v>59</v>
      </c>
      <c r="J470" s="86">
        <v>54</v>
      </c>
      <c r="K470" s="86" t="s">
        <v>1765</v>
      </c>
      <c r="L470" s="86" t="s">
        <v>1765</v>
      </c>
      <c r="M470" s="73">
        <v>6204440000</v>
      </c>
      <c r="N470" s="7"/>
      <c r="O470" s="86" t="s">
        <v>94</v>
      </c>
      <c r="P470">
        <v>1</v>
      </c>
    </row>
    <row r="471" spans="1:16" customFormat="1" ht="15">
      <c r="A471" s="84" t="str">
        <f>LEFT(M471,4)</f>
        <v>6204</v>
      </c>
      <c r="B471" s="84" t="str">
        <f t="shared" si="7"/>
        <v>ПЛАТЬЕ Без товарного знака жен. Артикул 7555 цвет РАЗНОЦВЕТНЫЙ р. 56</v>
      </c>
      <c r="C471" s="69" t="s">
        <v>1690</v>
      </c>
      <c r="D471" s="69" t="s">
        <v>55</v>
      </c>
      <c r="E471" s="91" t="s">
        <v>1809</v>
      </c>
      <c r="F471" s="69" t="s">
        <v>1691</v>
      </c>
      <c r="G471" s="72" t="s">
        <v>229</v>
      </c>
      <c r="H471" s="69" t="s">
        <v>1692</v>
      </c>
      <c r="I471" s="69" t="s">
        <v>59</v>
      </c>
      <c r="J471" s="86">
        <v>56</v>
      </c>
      <c r="K471" s="86" t="s">
        <v>1765</v>
      </c>
      <c r="L471" s="86" t="s">
        <v>1765</v>
      </c>
      <c r="M471" s="73">
        <v>6204440000</v>
      </c>
      <c r="N471" s="7"/>
      <c r="O471" s="86" t="s">
        <v>94</v>
      </c>
      <c r="P471">
        <v>1</v>
      </c>
    </row>
    <row r="472" spans="1:16" customFormat="1" ht="15">
      <c r="A472" s="84" t="str">
        <f>LEFT(M472,4)</f>
        <v>6204</v>
      </c>
      <c r="B472" s="84" t="str">
        <f t="shared" si="7"/>
        <v>ПЛАТЬЕ Без товарного знака жен. Артикул 7479 цвет РАЗНОЦВЕТНЫЙ р. 52</v>
      </c>
      <c r="C472" s="69" t="s">
        <v>1690</v>
      </c>
      <c r="D472" s="69" t="s">
        <v>55</v>
      </c>
      <c r="E472" s="91" t="s">
        <v>1810</v>
      </c>
      <c r="F472" s="69" t="s">
        <v>1691</v>
      </c>
      <c r="G472" s="72" t="s">
        <v>229</v>
      </c>
      <c r="H472" s="69" t="s">
        <v>1692</v>
      </c>
      <c r="I472" s="69" t="s">
        <v>59</v>
      </c>
      <c r="J472" s="86">
        <v>52</v>
      </c>
      <c r="K472" s="86" t="s">
        <v>1693</v>
      </c>
      <c r="L472" s="86" t="s">
        <v>1693</v>
      </c>
      <c r="M472" s="73">
        <v>6204440000</v>
      </c>
      <c r="N472" s="7"/>
      <c r="O472" s="86" t="s">
        <v>94</v>
      </c>
      <c r="P472">
        <v>1</v>
      </c>
    </row>
    <row r="473" spans="1:16" customFormat="1" ht="15">
      <c r="A473" s="84" t="str">
        <f>LEFT(M473,4)</f>
        <v>6204</v>
      </c>
      <c r="B473" s="84" t="str">
        <f t="shared" si="7"/>
        <v>ПЛАТЬЕ Без товарного знака жен. Артикул 7479 цвет РАЗНОЦВЕТНЫЙ р. 56</v>
      </c>
      <c r="C473" s="69" t="s">
        <v>1690</v>
      </c>
      <c r="D473" s="69" t="s">
        <v>55</v>
      </c>
      <c r="E473" s="91" t="s">
        <v>1810</v>
      </c>
      <c r="F473" s="69" t="s">
        <v>1691</v>
      </c>
      <c r="G473" s="72" t="s">
        <v>229</v>
      </c>
      <c r="H473" s="69" t="s">
        <v>1692</v>
      </c>
      <c r="I473" s="69" t="s">
        <v>59</v>
      </c>
      <c r="J473" s="86">
        <v>56</v>
      </c>
      <c r="K473" s="86" t="s">
        <v>1693</v>
      </c>
      <c r="L473" s="86" t="s">
        <v>1693</v>
      </c>
      <c r="M473" s="73">
        <v>6204440000</v>
      </c>
      <c r="N473" s="7"/>
      <c r="O473" s="86" t="s">
        <v>94</v>
      </c>
      <c r="P473">
        <v>1</v>
      </c>
    </row>
    <row r="474" spans="1:16" customFormat="1" ht="15">
      <c r="A474" s="84" t="str">
        <f>LEFT(M474,4)</f>
        <v>6204</v>
      </c>
      <c r="B474" s="84" t="str">
        <f t="shared" si="7"/>
        <v>ПЛАТЬЕ Без товарного знака жен. Артикул 7464 цвет РАЗНОЦВЕТНЫЙ р. 48</v>
      </c>
      <c r="C474" s="69" t="s">
        <v>1690</v>
      </c>
      <c r="D474" s="69" t="s">
        <v>55</v>
      </c>
      <c r="E474" s="91" t="s">
        <v>1811</v>
      </c>
      <c r="F474" s="69" t="s">
        <v>1691</v>
      </c>
      <c r="G474" s="72" t="s">
        <v>229</v>
      </c>
      <c r="H474" s="69" t="s">
        <v>1692</v>
      </c>
      <c r="I474" s="69" t="s">
        <v>59</v>
      </c>
      <c r="J474" s="86">
        <v>48</v>
      </c>
      <c r="K474" s="86" t="s">
        <v>1812</v>
      </c>
      <c r="L474" s="86" t="s">
        <v>1812</v>
      </c>
      <c r="M474" s="73">
        <v>6204440000</v>
      </c>
      <c r="N474" s="7"/>
      <c r="O474" s="86" t="s">
        <v>94</v>
      </c>
      <c r="P474">
        <v>1</v>
      </c>
    </row>
    <row r="475" spans="1:16" customFormat="1" ht="15">
      <c r="A475" s="84" t="str">
        <f>LEFT(M475,4)</f>
        <v>6204</v>
      </c>
      <c r="B475" s="84" t="str">
        <f t="shared" si="7"/>
        <v>ПЛАТЬЕ Без товарного знака жен. Артикул 7464 цвет РАЗНОЦВЕТНЫЙ р. 56</v>
      </c>
      <c r="C475" s="69" t="s">
        <v>1690</v>
      </c>
      <c r="D475" s="69" t="s">
        <v>55</v>
      </c>
      <c r="E475" s="91" t="s">
        <v>1811</v>
      </c>
      <c r="F475" s="69" t="s">
        <v>1691</v>
      </c>
      <c r="G475" s="72" t="s">
        <v>229</v>
      </c>
      <c r="H475" s="69" t="s">
        <v>1692</v>
      </c>
      <c r="I475" s="69" t="s">
        <v>59</v>
      </c>
      <c r="J475" s="86">
        <v>56</v>
      </c>
      <c r="K475" s="86" t="s">
        <v>1812</v>
      </c>
      <c r="L475" s="86" t="s">
        <v>1812</v>
      </c>
      <c r="M475" s="73">
        <v>6204440000</v>
      </c>
      <c r="N475" s="7"/>
      <c r="O475" s="86" t="s">
        <v>94</v>
      </c>
      <c r="P475">
        <v>1</v>
      </c>
    </row>
    <row r="476" spans="1:16" customFormat="1" ht="15">
      <c r="A476" s="84" t="str">
        <f>LEFT(M476,4)</f>
        <v>6204</v>
      </c>
      <c r="B476" s="84" t="str">
        <f t="shared" si="7"/>
        <v>ПЛАТЬЕ Без товарного знака жен. Артикул 095 цвет РАЗНОЦВЕТНЫЙ р. 48</v>
      </c>
      <c r="C476" s="69" t="s">
        <v>1690</v>
      </c>
      <c r="D476" s="69" t="s">
        <v>55</v>
      </c>
      <c r="E476" s="91" t="s">
        <v>1813</v>
      </c>
      <c r="F476" s="69" t="s">
        <v>1691</v>
      </c>
      <c r="G476" s="72" t="s">
        <v>229</v>
      </c>
      <c r="H476" s="69" t="s">
        <v>1692</v>
      </c>
      <c r="I476" s="69" t="s">
        <v>59</v>
      </c>
      <c r="J476" s="86">
        <v>48</v>
      </c>
      <c r="K476" s="86" t="s">
        <v>1693</v>
      </c>
      <c r="L476" s="86" t="s">
        <v>1693</v>
      </c>
      <c r="M476" s="73">
        <v>6204440000</v>
      </c>
      <c r="N476" s="7"/>
      <c r="O476" s="86" t="s">
        <v>94</v>
      </c>
      <c r="P476">
        <v>1</v>
      </c>
    </row>
    <row r="477" spans="1:16" customFormat="1" ht="15">
      <c r="A477" s="84" t="str">
        <f>LEFT(M477,4)</f>
        <v>6204</v>
      </c>
      <c r="B477" s="84" t="str">
        <f t="shared" si="7"/>
        <v>ПЛАТЬЕ Без товарного знака жен. Артикул 5274 цвет РАЗНОЦВЕТНЫЙ р. 44</v>
      </c>
      <c r="C477" s="69" t="s">
        <v>1690</v>
      </c>
      <c r="D477" s="69" t="s">
        <v>55</v>
      </c>
      <c r="E477" s="91" t="s">
        <v>1814</v>
      </c>
      <c r="F477" s="69" t="s">
        <v>1691</v>
      </c>
      <c r="G477" s="72" t="s">
        <v>229</v>
      </c>
      <c r="H477" s="69" t="s">
        <v>1692</v>
      </c>
      <c r="I477" s="69" t="s">
        <v>59</v>
      </c>
      <c r="J477" s="86">
        <v>44</v>
      </c>
      <c r="K477" s="86" t="s">
        <v>1815</v>
      </c>
      <c r="L477" s="86" t="s">
        <v>1815</v>
      </c>
      <c r="M477" s="73">
        <v>6204420000</v>
      </c>
      <c r="N477" s="7"/>
      <c r="O477" s="86" t="s">
        <v>94</v>
      </c>
      <c r="P477">
        <v>1</v>
      </c>
    </row>
    <row r="478" spans="1:16" customFormat="1" ht="15">
      <c r="A478" s="84" t="str">
        <f>LEFT(M478,4)</f>
        <v>6204</v>
      </c>
      <c r="B478" s="84" t="str">
        <f t="shared" si="7"/>
        <v>ПЛАТЬЕ Без товарного знака жен. Артикул 5274 цвет РАЗНОЦВЕТНЫЙ р. 46</v>
      </c>
      <c r="C478" s="69" t="s">
        <v>1690</v>
      </c>
      <c r="D478" s="69" t="s">
        <v>55</v>
      </c>
      <c r="E478" s="91" t="s">
        <v>1814</v>
      </c>
      <c r="F478" s="69" t="s">
        <v>1691</v>
      </c>
      <c r="G478" s="72" t="s">
        <v>229</v>
      </c>
      <c r="H478" s="69" t="s">
        <v>1692</v>
      </c>
      <c r="I478" s="69" t="s">
        <v>59</v>
      </c>
      <c r="J478" s="86">
        <v>46</v>
      </c>
      <c r="K478" s="86" t="s">
        <v>1815</v>
      </c>
      <c r="L478" s="86" t="s">
        <v>1815</v>
      </c>
      <c r="M478" s="73">
        <v>6204420000</v>
      </c>
      <c r="N478" s="7"/>
      <c r="O478" s="86" t="s">
        <v>94</v>
      </c>
      <c r="P478">
        <v>1</v>
      </c>
    </row>
    <row r="479" spans="1:16" customFormat="1" ht="15">
      <c r="A479" s="84" t="str">
        <f>LEFT(M479,4)</f>
        <v>6204</v>
      </c>
      <c r="B479" s="84" t="str">
        <f t="shared" si="7"/>
        <v>ПЛАТЬЕ Без товарного знака жен. Артикул 5274 цвет РАЗНОЦВЕТНЫЙ р. 48</v>
      </c>
      <c r="C479" s="69" t="s">
        <v>1690</v>
      </c>
      <c r="D479" s="69" t="s">
        <v>55</v>
      </c>
      <c r="E479" s="91" t="s">
        <v>1814</v>
      </c>
      <c r="F479" s="69" t="s">
        <v>1691</v>
      </c>
      <c r="G479" s="72" t="s">
        <v>229</v>
      </c>
      <c r="H479" s="69" t="s">
        <v>1692</v>
      </c>
      <c r="I479" s="69" t="s">
        <v>59</v>
      </c>
      <c r="J479" s="86">
        <v>48</v>
      </c>
      <c r="K479" s="86" t="s">
        <v>1815</v>
      </c>
      <c r="L479" s="86" t="s">
        <v>1815</v>
      </c>
      <c r="M479" s="73">
        <v>6204420000</v>
      </c>
      <c r="N479" s="7"/>
      <c r="O479" s="86" t="s">
        <v>94</v>
      </c>
      <c r="P479">
        <v>1</v>
      </c>
    </row>
    <row r="480" spans="1:16" customFormat="1" ht="15">
      <c r="A480" s="84" t="str">
        <f>LEFT(M480,4)</f>
        <v>6204</v>
      </c>
      <c r="B480" s="84" t="str">
        <f t="shared" si="7"/>
        <v>ПЛАТЬЕ Без товарного знака жен. Артикул 7437 цвет ГОЛУБОЙ р. 48</v>
      </c>
      <c r="C480" s="69" t="s">
        <v>1690</v>
      </c>
      <c r="D480" s="69" t="s">
        <v>55</v>
      </c>
      <c r="E480" s="91" t="s">
        <v>1816</v>
      </c>
      <c r="F480" s="69" t="s">
        <v>1691</v>
      </c>
      <c r="G480" s="72" t="s">
        <v>141</v>
      </c>
      <c r="H480" s="69" t="s">
        <v>1692</v>
      </c>
      <c r="I480" s="69" t="s">
        <v>59</v>
      </c>
      <c r="J480" s="86">
        <v>48</v>
      </c>
      <c r="K480" s="86" t="s">
        <v>1693</v>
      </c>
      <c r="L480" s="86" t="s">
        <v>1693</v>
      </c>
      <c r="M480" s="73">
        <v>6204430000</v>
      </c>
      <c r="N480" s="7"/>
      <c r="O480" s="86" t="s">
        <v>94</v>
      </c>
      <c r="P480">
        <v>1</v>
      </c>
    </row>
    <row r="481" spans="1:16" customFormat="1" ht="15">
      <c r="A481" s="84" t="str">
        <f>LEFT(M481,4)</f>
        <v>6204</v>
      </c>
      <c r="B481" s="84" t="str">
        <f t="shared" si="7"/>
        <v>ПЛАТЬЕ Без товарного знака жен. Артикул 7437 цвет ГОЛУБОЙ р. 50</v>
      </c>
      <c r="C481" s="69" t="s">
        <v>1690</v>
      </c>
      <c r="D481" s="69" t="s">
        <v>55</v>
      </c>
      <c r="E481" s="91" t="s">
        <v>1816</v>
      </c>
      <c r="F481" s="69" t="s">
        <v>1691</v>
      </c>
      <c r="G481" s="72" t="s">
        <v>141</v>
      </c>
      <c r="H481" s="69" t="s">
        <v>1692</v>
      </c>
      <c r="I481" s="69" t="s">
        <v>59</v>
      </c>
      <c r="J481" s="86">
        <v>50</v>
      </c>
      <c r="K481" s="86" t="s">
        <v>1693</v>
      </c>
      <c r="L481" s="86" t="s">
        <v>1693</v>
      </c>
      <c r="M481" s="73">
        <v>6204430000</v>
      </c>
      <c r="N481" s="7"/>
      <c r="O481" s="86" t="s">
        <v>94</v>
      </c>
      <c r="P481">
        <v>1</v>
      </c>
    </row>
    <row r="482" spans="1:16" customFormat="1" ht="15">
      <c r="A482" s="84" t="str">
        <f>LEFT(M482,4)</f>
        <v>6204</v>
      </c>
      <c r="B482" s="84" t="str">
        <f t="shared" si="7"/>
        <v>ПЛАТЬЕ Без товарного знака жен. Артикул 7437 цвет ГОЛУБОЙ р. 52</v>
      </c>
      <c r="C482" s="69" t="s">
        <v>1690</v>
      </c>
      <c r="D482" s="69" t="s">
        <v>55</v>
      </c>
      <c r="E482" s="91" t="s">
        <v>1816</v>
      </c>
      <c r="F482" s="69" t="s">
        <v>1691</v>
      </c>
      <c r="G482" s="72" t="s">
        <v>141</v>
      </c>
      <c r="H482" s="69" t="s">
        <v>1692</v>
      </c>
      <c r="I482" s="69" t="s">
        <v>59</v>
      </c>
      <c r="J482" s="86">
        <v>52</v>
      </c>
      <c r="K482" s="86" t="s">
        <v>1693</v>
      </c>
      <c r="L482" s="86" t="s">
        <v>1693</v>
      </c>
      <c r="M482" s="73">
        <v>6204430000</v>
      </c>
      <c r="N482" s="7"/>
      <c r="O482" s="86" t="s">
        <v>94</v>
      </c>
      <c r="P482">
        <v>1</v>
      </c>
    </row>
    <row r="483" spans="1:16" customFormat="1" ht="15">
      <c r="A483" s="84" t="str">
        <f>LEFT(M483,4)</f>
        <v>6204</v>
      </c>
      <c r="B483" s="84" t="str">
        <f t="shared" si="7"/>
        <v>ПЛАТЬЕ Без товарного знака жен. Артикул 7437 цвет ГОЛУБОЙ р. 54</v>
      </c>
      <c r="C483" s="69" t="s">
        <v>1690</v>
      </c>
      <c r="D483" s="69" t="s">
        <v>55</v>
      </c>
      <c r="E483" s="91" t="s">
        <v>1816</v>
      </c>
      <c r="F483" s="69" t="s">
        <v>1691</v>
      </c>
      <c r="G483" s="72" t="s">
        <v>141</v>
      </c>
      <c r="H483" s="69" t="s">
        <v>1692</v>
      </c>
      <c r="I483" s="69" t="s">
        <v>59</v>
      </c>
      <c r="J483" s="86">
        <v>54</v>
      </c>
      <c r="K483" s="86" t="s">
        <v>1693</v>
      </c>
      <c r="L483" s="86" t="s">
        <v>1693</v>
      </c>
      <c r="M483" s="73">
        <v>6204430000</v>
      </c>
      <c r="N483" s="7"/>
      <c r="O483" s="86" t="s">
        <v>94</v>
      </c>
      <c r="P483">
        <v>1</v>
      </c>
    </row>
    <row r="484" spans="1:16" customFormat="1" ht="15">
      <c r="A484" s="84" t="str">
        <f>LEFT(M484,4)</f>
        <v>6204</v>
      </c>
      <c r="B484" s="84" t="str">
        <f t="shared" si="7"/>
        <v>ПЛАТЬЕ Без товарного знака жен. Артикул 7509 цвет РАЗНОЦВЕТНЫЙ р. 50</v>
      </c>
      <c r="C484" s="69" t="s">
        <v>1690</v>
      </c>
      <c r="D484" s="69" t="s">
        <v>55</v>
      </c>
      <c r="E484" s="91" t="s">
        <v>1817</v>
      </c>
      <c r="F484" s="69" t="s">
        <v>1691</v>
      </c>
      <c r="G484" s="72" t="s">
        <v>229</v>
      </c>
      <c r="H484" s="69" t="s">
        <v>1692</v>
      </c>
      <c r="I484" s="69" t="s">
        <v>59</v>
      </c>
      <c r="J484" s="86">
        <v>50</v>
      </c>
      <c r="K484" s="86" t="s">
        <v>1693</v>
      </c>
      <c r="L484" s="86" t="s">
        <v>1693</v>
      </c>
      <c r="M484" s="73">
        <v>6204430000</v>
      </c>
      <c r="N484" s="7"/>
      <c r="O484" s="86" t="s">
        <v>94</v>
      </c>
      <c r="P484">
        <v>1</v>
      </c>
    </row>
    <row r="485" spans="1:16" customFormat="1" ht="15">
      <c r="A485" s="84" t="str">
        <f>LEFT(M485,4)</f>
        <v>6204</v>
      </c>
      <c r="B485" s="84" t="str">
        <f t="shared" si="7"/>
        <v>ПЛАТЬЕ Без товарного знака жен. Артикул 7509 цвет РАЗНОЦВЕТНЫЙ р. 52</v>
      </c>
      <c r="C485" s="69" t="s">
        <v>1690</v>
      </c>
      <c r="D485" s="69" t="s">
        <v>55</v>
      </c>
      <c r="E485" s="91" t="s">
        <v>1817</v>
      </c>
      <c r="F485" s="69" t="s">
        <v>1691</v>
      </c>
      <c r="G485" s="72" t="s">
        <v>229</v>
      </c>
      <c r="H485" s="69" t="s">
        <v>1692</v>
      </c>
      <c r="I485" s="69" t="s">
        <v>59</v>
      </c>
      <c r="J485" s="86">
        <v>52</v>
      </c>
      <c r="K485" s="86" t="s">
        <v>1693</v>
      </c>
      <c r="L485" s="86" t="s">
        <v>1693</v>
      </c>
      <c r="M485" s="73">
        <v>6204430000</v>
      </c>
      <c r="N485" s="7"/>
      <c r="O485" s="86" t="s">
        <v>94</v>
      </c>
      <c r="P485">
        <v>1</v>
      </c>
    </row>
    <row r="486" spans="1:16" customFormat="1" ht="15">
      <c r="A486" s="84" t="str">
        <f>LEFT(M486,4)</f>
        <v>6204</v>
      </c>
      <c r="B486" s="84" t="str">
        <f t="shared" si="7"/>
        <v>ПЛАТЬЕ Без товарного знака жен. Артикул 7509 цвет РАЗНОЦВЕТНЫЙ р. 54</v>
      </c>
      <c r="C486" s="69" t="s">
        <v>1690</v>
      </c>
      <c r="D486" s="69" t="s">
        <v>55</v>
      </c>
      <c r="E486" s="91" t="s">
        <v>1817</v>
      </c>
      <c r="F486" s="69" t="s">
        <v>1691</v>
      </c>
      <c r="G486" s="72" t="s">
        <v>229</v>
      </c>
      <c r="H486" s="69" t="s">
        <v>1692</v>
      </c>
      <c r="I486" s="69" t="s">
        <v>59</v>
      </c>
      <c r="J486" s="86">
        <v>54</v>
      </c>
      <c r="K486" s="86" t="s">
        <v>1693</v>
      </c>
      <c r="L486" s="86" t="s">
        <v>1693</v>
      </c>
      <c r="M486" s="73">
        <v>6204430000</v>
      </c>
      <c r="N486" s="7"/>
      <c r="O486" s="86" t="s">
        <v>94</v>
      </c>
      <c r="P486">
        <v>1</v>
      </c>
    </row>
    <row r="487" spans="1:16" customFormat="1" ht="15">
      <c r="A487" s="84" t="str">
        <f>LEFT(M487,4)</f>
        <v>6204</v>
      </c>
      <c r="B487" s="84" t="str">
        <f t="shared" si="7"/>
        <v>ПЛАТЬЕ Без товарного знака жен. Артикул 7509 цвет РАЗНОЦВЕТНЫЙ р. 56</v>
      </c>
      <c r="C487" s="69" t="s">
        <v>1690</v>
      </c>
      <c r="D487" s="69" t="s">
        <v>55</v>
      </c>
      <c r="E487" s="91" t="s">
        <v>1817</v>
      </c>
      <c r="F487" s="69" t="s">
        <v>1691</v>
      </c>
      <c r="G487" s="72" t="s">
        <v>229</v>
      </c>
      <c r="H487" s="69" t="s">
        <v>1692</v>
      </c>
      <c r="I487" s="69" t="s">
        <v>59</v>
      </c>
      <c r="J487" s="86">
        <v>56</v>
      </c>
      <c r="K487" s="86" t="s">
        <v>1693</v>
      </c>
      <c r="L487" s="86" t="s">
        <v>1693</v>
      </c>
      <c r="M487" s="73">
        <v>6204430000</v>
      </c>
      <c r="N487" s="7"/>
      <c r="O487" s="86" t="s">
        <v>94</v>
      </c>
      <c r="P487">
        <v>1</v>
      </c>
    </row>
    <row r="488" spans="1:16" customFormat="1" ht="15">
      <c r="A488" s="84" t="str">
        <f>LEFT(M488,4)</f>
        <v>6204</v>
      </c>
      <c r="B488" s="84" t="str">
        <f t="shared" si="7"/>
        <v>ПЛАТЬЕ Без товарного знака жен. Артикул 7003 цвет РАЗНОЦВЕТНЫЙ р. 54</v>
      </c>
      <c r="C488" s="69" t="s">
        <v>1690</v>
      </c>
      <c r="D488" s="69" t="s">
        <v>55</v>
      </c>
      <c r="E488" s="91" t="s">
        <v>1818</v>
      </c>
      <c r="F488" s="69" t="s">
        <v>1691</v>
      </c>
      <c r="G488" s="72" t="s">
        <v>229</v>
      </c>
      <c r="H488" s="69" t="s">
        <v>1692</v>
      </c>
      <c r="I488" s="69" t="s">
        <v>59</v>
      </c>
      <c r="J488" s="86">
        <v>54</v>
      </c>
      <c r="K488" s="86" t="s">
        <v>1693</v>
      </c>
      <c r="L488" s="86" t="s">
        <v>1693</v>
      </c>
      <c r="M488" s="73">
        <v>6204430000</v>
      </c>
      <c r="N488" s="7"/>
      <c r="O488" s="86" t="s">
        <v>94</v>
      </c>
      <c r="P488">
        <v>1</v>
      </c>
    </row>
    <row r="489" spans="1:16" customFormat="1" ht="15">
      <c r="A489" s="84" t="str">
        <f>LEFT(M489,4)</f>
        <v>6204</v>
      </c>
      <c r="B489" s="84" t="str">
        <f t="shared" si="7"/>
        <v>ПЛАТЬЕ Без товарного знака жен. Артикул 0116600 цвет РАЗНОЦВЕТНЫЙ р. 44</v>
      </c>
      <c r="C489" s="69" t="s">
        <v>1690</v>
      </c>
      <c r="D489" s="69" t="s">
        <v>55</v>
      </c>
      <c r="E489" s="91" t="s">
        <v>1819</v>
      </c>
      <c r="F489" s="69" t="s">
        <v>1691</v>
      </c>
      <c r="G489" s="72" t="s">
        <v>229</v>
      </c>
      <c r="H489" s="69" t="s">
        <v>1692</v>
      </c>
      <c r="I489" s="69" t="s">
        <v>59</v>
      </c>
      <c r="J489" s="86">
        <v>44</v>
      </c>
      <c r="K489" s="86" t="s">
        <v>1750</v>
      </c>
      <c r="L489" s="86" t="s">
        <v>1750</v>
      </c>
      <c r="M489" s="73">
        <v>6204430000</v>
      </c>
      <c r="N489" s="7"/>
      <c r="O489" s="86" t="s">
        <v>59</v>
      </c>
      <c r="P489">
        <v>1</v>
      </c>
    </row>
    <row r="490" spans="1:16" customFormat="1" ht="15">
      <c r="A490" s="84" t="str">
        <f>LEFT(M490,4)</f>
        <v>6204</v>
      </c>
      <c r="B490" s="84" t="str">
        <f t="shared" si="7"/>
        <v>ПЛАТЬЕ Без товарного знака жен. Артикул 0116600 цвет РАЗНОЦВЕТНЫЙ р. 42</v>
      </c>
      <c r="C490" s="69" t="s">
        <v>1690</v>
      </c>
      <c r="D490" s="69" t="s">
        <v>55</v>
      </c>
      <c r="E490" s="91" t="s">
        <v>1819</v>
      </c>
      <c r="F490" s="69" t="s">
        <v>1691</v>
      </c>
      <c r="G490" s="72" t="s">
        <v>229</v>
      </c>
      <c r="H490" s="69" t="s">
        <v>1692</v>
      </c>
      <c r="I490" s="69" t="s">
        <v>59</v>
      </c>
      <c r="J490" s="86">
        <v>42</v>
      </c>
      <c r="K490" s="86" t="s">
        <v>1750</v>
      </c>
      <c r="L490" s="86" t="s">
        <v>1750</v>
      </c>
      <c r="M490" s="73">
        <v>6204430000</v>
      </c>
      <c r="N490" s="7"/>
      <c r="O490" s="86" t="s">
        <v>59</v>
      </c>
      <c r="P490">
        <v>1</v>
      </c>
    </row>
    <row r="491" spans="1:16" customFormat="1" ht="15">
      <c r="A491" s="84" t="str">
        <f>LEFT(M491,4)</f>
        <v>6204</v>
      </c>
      <c r="B491" s="84" t="str">
        <f t="shared" si="7"/>
        <v>ПЛАТЬЕ Без товарного знака жен. Артикул 0116600 цвет РАЗНОЦВЕТНЫЙ р. 44</v>
      </c>
      <c r="C491" s="69" t="s">
        <v>1690</v>
      </c>
      <c r="D491" s="69" t="s">
        <v>55</v>
      </c>
      <c r="E491" s="91" t="s">
        <v>1819</v>
      </c>
      <c r="F491" s="69" t="s">
        <v>1691</v>
      </c>
      <c r="G491" s="72" t="s">
        <v>229</v>
      </c>
      <c r="H491" s="69" t="s">
        <v>1692</v>
      </c>
      <c r="I491" s="69" t="s">
        <v>59</v>
      </c>
      <c r="J491" s="86">
        <v>44</v>
      </c>
      <c r="K491" s="86" t="s">
        <v>1750</v>
      </c>
      <c r="L491" s="86" t="s">
        <v>1750</v>
      </c>
      <c r="M491" s="73">
        <v>6204430000</v>
      </c>
      <c r="N491" s="7"/>
      <c r="O491" s="86" t="s">
        <v>59</v>
      </c>
      <c r="P491">
        <v>1</v>
      </c>
    </row>
    <row r="492" spans="1:16" customFormat="1" ht="15">
      <c r="A492" s="84" t="str">
        <f>LEFT(M492,4)</f>
        <v>6204</v>
      </c>
      <c r="B492" s="84" t="str">
        <f t="shared" si="7"/>
        <v>ПЛАТЬЕ Без товарного знака жен. Артикул 01311341 цвет СИНИЙ р. 44</v>
      </c>
      <c r="C492" s="69" t="s">
        <v>1690</v>
      </c>
      <c r="D492" s="69" t="s">
        <v>55</v>
      </c>
      <c r="E492" s="91" t="s">
        <v>1820</v>
      </c>
      <c r="F492" s="69" t="s">
        <v>1691</v>
      </c>
      <c r="G492" s="72" t="s">
        <v>279</v>
      </c>
      <c r="H492" s="69" t="s">
        <v>1692</v>
      </c>
      <c r="I492" s="69" t="s">
        <v>59</v>
      </c>
      <c r="J492" s="86">
        <v>44</v>
      </c>
      <c r="K492" s="86" t="s">
        <v>1753</v>
      </c>
      <c r="L492" s="86" t="s">
        <v>1753</v>
      </c>
      <c r="M492" s="73">
        <v>6204499000</v>
      </c>
      <c r="N492" s="7"/>
      <c r="O492" s="86" t="s">
        <v>59</v>
      </c>
      <c r="P492">
        <v>1</v>
      </c>
    </row>
    <row r="493" spans="1:16" customFormat="1" ht="15">
      <c r="A493" s="84" t="str">
        <f>LEFT(M493,4)</f>
        <v>6204</v>
      </c>
      <c r="B493" s="84" t="str">
        <f t="shared" si="7"/>
        <v>ПЛАТЬЕ Без товарного знака жен. Артикул 5734 цвет СИНИЙ р. 54</v>
      </c>
      <c r="C493" s="69" t="s">
        <v>1690</v>
      </c>
      <c r="D493" s="69" t="s">
        <v>55</v>
      </c>
      <c r="E493" s="91" t="s">
        <v>1821</v>
      </c>
      <c r="F493" s="69" t="s">
        <v>1691</v>
      </c>
      <c r="G493" s="72" t="s">
        <v>279</v>
      </c>
      <c r="H493" s="69" t="s">
        <v>1692</v>
      </c>
      <c r="I493" s="69" t="s">
        <v>59</v>
      </c>
      <c r="J493" s="86">
        <v>54</v>
      </c>
      <c r="K493" s="86" t="s">
        <v>1755</v>
      </c>
      <c r="L493" s="86" t="s">
        <v>1755</v>
      </c>
      <c r="M493" s="73">
        <v>6204499000</v>
      </c>
      <c r="N493" s="7"/>
      <c r="O493" s="86" t="s">
        <v>94</v>
      </c>
      <c r="P493">
        <v>1</v>
      </c>
    </row>
    <row r="494" spans="1:16" customFormat="1" ht="15">
      <c r="A494" s="84" t="str">
        <f>LEFT(M494,4)</f>
        <v>6204</v>
      </c>
      <c r="B494" s="84" t="str">
        <f t="shared" si="7"/>
        <v>ПЛАТЬЕ Без товарного знака жен. Артикул 5809 цвет РАЗНОЦВЕТНЫЙ р. 54</v>
      </c>
      <c r="C494" s="69" t="s">
        <v>1690</v>
      </c>
      <c r="D494" s="69" t="s">
        <v>55</v>
      </c>
      <c r="E494" s="91" t="s">
        <v>1822</v>
      </c>
      <c r="F494" s="69" t="s">
        <v>1691</v>
      </c>
      <c r="G494" s="72" t="s">
        <v>229</v>
      </c>
      <c r="H494" s="69" t="s">
        <v>1692</v>
      </c>
      <c r="I494" s="69" t="s">
        <v>59</v>
      </c>
      <c r="J494" s="86">
        <v>54</v>
      </c>
      <c r="K494" s="86" t="s">
        <v>1823</v>
      </c>
      <c r="L494" s="86" t="s">
        <v>1823</v>
      </c>
      <c r="M494" s="73">
        <v>6204499000</v>
      </c>
      <c r="N494" s="7"/>
      <c r="O494" s="86" t="s">
        <v>94</v>
      </c>
      <c r="P494">
        <v>1</v>
      </c>
    </row>
    <row r="495" spans="1:16" customFormat="1" ht="15">
      <c r="A495" s="84" t="str">
        <f>LEFT(M495,4)</f>
        <v>6204</v>
      </c>
      <c r="B495" s="84" t="str">
        <f t="shared" si="7"/>
        <v>ПЛАТЬЕ Без товарного знака жен. Артикул 5809 цвет РАЗНОЦВЕТНЫЙ р. 56</v>
      </c>
      <c r="C495" s="69" t="s">
        <v>1690</v>
      </c>
      <c r="D495" s="69" t="s">
        <v>55</v>
      </c>
      <c r="E495" s="91" t="s">
        <v>1822</v>
      </c>
      <c r="F495" s="69" t="s">
        <v>1691</v>
      </c>
      <c r="G495" s="72" t="s">
        <v>229</v>
      </c>
      <c r="H495" s="69" t="s">
        <v>1692</v>
      </c>
      <c r="I495" s="69" t="s">
        <v>59</v>
      </c>
      <c r="J495" s="86">
        <v>56</v>
      </c>
      <c r="K495" s="86" t="s">
        <v>1823</v>
      </c>
      <c r="L495" s="86" t="s">
        <v>1823</v>
      </c>
      <c r="M495" s="73">
        <v>6204499000</v>
      </c>
      <c r="N495" s="7"/>
      <c r="O495" s="86" t="s">
        <v>94</v>
      </c>
      <c r="P495">
        <v>1</v>
      </c>
    </row>
    <row r="496" spans="1:16" customFormat="1" ht="15">
      <c r="A496" s="84" t="str">
        <f>LEFT(M496,4)</f>
        <v>6204</v>
      </c>
      <c r="B496" s="84" t="str">
        <f t="shared" ref="B496:B569" si="8">CONCATENATE(F496," ", C496," ",H496," ",D496," ", E496, " цвет ", G496, " р. ", J496)</f>
        <v>ПЛАТЬЕ Без товарного знака жен. Артикул 417834 цвет БИРЮЗОВЫЙ р. 54</v>
      </c>
      <c r="C496" s="69" t="s">
        <v>1690</v>
      </c>
      <c r="D496" s="69" t="s">
        <v>55</v>
      </c>
      <c r="E496" s="91" t="s">
        <v>1824</v>
      </c>
      <c r="F496" s="69" t="s">
        <v>1691</v>
      </c>
      <c r="G496" s="72" t="s">
        <v>111</v>
      </c>
      <c r="H496" s="69" t="s">
        <v>1692</v>
      </c>
      <c r="I496" s="69" t="s">
        <v>59</v>
      </c>
      <c r="J496" s="86">
        <v>54</v>
      </c>
      <c r="K496" s="86" t="s">
        <v>1825</v>
      </c>
      <c r="L496" s="86" t="s">
        <v>1825</v>
      </c>
      <c r="M496" s="73">
        <v>6204430000</v>
      </c>
      <c r="N496" s="7"/>
      <c r="O496" s="86" t="s">
        <v>94</v>
      </c>
      <c r="P496">
        <v>1</v>
      </c>
    </row>
    <row r="497" spans="1:16" customFormat="1" ht="15">
      <c r="A497" s="84" t="str">
        <f>LEFT(M497,4)</f>
        <v>6204</v>
      </c>
      <c r="B497" s="84" t="str">
        <f t="shared" si="8"/>
        <v>ПЛАТЬЕ Без товарного знака жен. Артикул 417834 цвет БИРЮЗОВЫЙ р. 56</v>
      </c>
      <c r="C497" s="69" t="s">
        <v>1690</v>
      </c>
      <c r="D497" s="69" t="s">
        <v>55</v>
      </c>
      <c r="E497" s="91" t="s">
        <v>1824</v>
      </c>
      <c r="F497" s="69" t="s">
        <v>1691</v>
      </c>
      <c r="G497" s="72" t="s">
        <v>111</v>
      </c>
      <c r="H497" s="69" t="s">
        <v>1692</v>
      </c>
      <c r="I497" s="69" t="s">
        <v>59</v>
      </c>
      <c r="J497" s="86">
        <v>56</v>
      </c>
      <c r="K497" s="86" t="s">
        <v>1825</v>
      </c>
      <c r="L497" s="86" t="s">
        <v>1825</v>
      </c>
      <c r="M497" s="73">
        <v>6204430000</v>
      </c>
      <c r="N497" s="7"/>
      <c r="O497" s="86" t="s">
        <v>94</v>
      </c>
      <c r="P497">
        <v>1</v>
      </c>
    </row>
    <row r="498" spans="1:16" customFormat="1" ht="15">
      <c r="A498" s="84" t="str">
        <f>LEFT(M498,4)</f>
        <v>6204</v>
      </c>
      <c r="B498" s="84" t="str">
        <f t="shared" si="8"/>
        <v>ПЛАТЬЕ Без товарного знака жен. Артикул 0120342 цвет КАРАМЕЛЬНЫЙ р. 48</v>
      </c>
      <c r="C498" s="69" t="s">
        <v>1690</v>
      </c>
      <c r="D498" s="69" t="s">
        <v>55</v>
      </c>
      <c r="E498" s="91" t="s">
        <v>1826</v>
      </c>
      <c r="F498" s="69" t="s">
        <v>1691</v>
      </c>
      <c r="G498" s="75" t="s">
        <v>1827</v>
      </c>
      <c r="H498" s="69" t="s">
        <v>1692</v>
      </c>
      <c r="I498" s="69" t="s">
        <v>59</v>
      </c>
      <c r="J498" s="86">
        <v>48</v>
      </c>
      <c r="K498" s="86" t="s">
        <v>1776</v>
      </c>
      <c r="L498" s="86" t="s">
        <v>1776</v>
      </c>
      <c r="M498" s="73">
        <v>6204430000</v>
      </c>
      <c r="N498" s="7"/>
      <c r="O498" s="86" t="s">
        <v>59</v>
      </c>
      <c r="P498">
        <v>1</v>
      </c>
    </row>
    <row r="499" spans="1:16" customFormat="1" ht="15">
      <c r="A499" s="84" t="str">
        <f>LEFT(M499,4)</f>
        <v>6204</v>
      </c>
      <c r="B499" s="84" t="str">
        <f t="shared" si="8"/>
        <v>ПЛАТЬЕ Без товарного знака жен. Артикул 5338 цвет РАЗНОЦВЕТНЫЙ р. 54</v>
      </c>
      <c r="C499" s="69" t="s">
        <v>1690</v>
      </c>
      <c r="D499" s="69" t="s">
        <v>55</v>
      </c>
      <c r="E499" s="91" t="s">
        <v>1828</v>
      </c>
      <c r="F499" s="69" t="s">
        <v>1691</v>
      </c>
      <c r="G499" s="72" t="s">
        <v>229</v>
      </c>
      <c r="H499" s="69" t="s">
        <v>1692</v>
      </c>
      <c r="I499" s="69" t="s">
        <v>59</v>
      </c>
      <c r="J499" s="86">
        <v>54</v>
      </c>
      <c r="K499" s="86" t="s">
        <v>1693</v>
      </c>
      <c r="L499" s="86" t="s">
        <v>1693</v>
      </c>
      <c r="M499" s="73">
        <v>6204430000</v>
      </c>
      <c r="N499" s="7"/>
      <c r="O499" s="86" t="s">
        <v>94</v>
      </c>
      <c r="P499">
        <v>1</v>
      </c>
    </row>
    <row r="500" spans="1:16" customFormat="1" ht="15">
      <c r="A500" s="84" t="str">
        <f>LEFT(M500,4)</f>
        <v>6204</v>
      </c>
      <c r="B500" s="84" t="str">
        <f t="shared" si="8"/>
        <v>ПЛАТЬЕ Без товарного знака жен. Артикул 3003 цвет БОРДОВЫЙ р. 54</v>
      </c>
      <c r="C500" s="69" t="s">
        <v>1690</v>
      </c>
      <c r="D500" s="69" t="s">
        <v>55</v>
      </c>
      <c r="E500" s="91" t="s">
        <v>1829</v>
      </c>
      <c r="F500" s="69" t="s">
        <v>1691</v>
      </c>
      <c r="G500" s="72" t="s">
        <v>117</v>
      </c>
      <c r="H500" s="69" t="s">
        <v>1692</v>
      </c>
      <c r="I500" s="69" t="s">
        <v>59</v>
      </c>
      <c r="J500" s="86">
        <v>54</v>
      </c>
      <c r="K500" s="86" t="s">
        <v>1693</v>
      </c>
      <c r="L500" s="86" t="s">
        <v>1693</v>
      </c>
      <c r="M500" s="73">
        <v>6204430000</v>
      </c>
      <c r="N500" s="7"/>
      <c r="O500" s="86" t="s">
        <v>94</v>
      </c>
      <c r="P500">
        <v>1</v>
      </c>
    </row>
    <row r="501" spans="1:16" customFormat="1" ht="15">
      <c r="A501" s="84" t="str">
        <f>LEFT(M501,4)</f>
        <v>6204</v>
      </c>
      <c r="B501" s="84" t="str">
        <f t="shared" si="8"/>
        <v>ПЛАТЬЕ Без товарного знака жен. Артикул 2867 цвет БОРДОВЫЙ р. 54</v>
      </c>
      <c r="C501" s="69" t="s">
        <v>1690</v>
      </c>
      <c r="D501" s="69" t="s">
        <v>55</v>
      </c>
      <c r="E501" s="91" t="s">
        <v>1830</v>
      </c>
      <c r="F501" s="69" t="s">
        <v>1691</v>
      </c>
      <c r="G501" s="72" t="s">
        <v>117</v>
      </c>
      <c r="H501" s="69" t="s">
        <v>1692</v>
      </c>
      <c r="I501" s="69" t="s">
        <v>59</v>
      </c>
      <c r="J501" s="86">
        <v>54</v>
      </c>
      <c r="K501" s="86" t="s">
        <v>1831</v>
      </c>
      <c r="L501" s="86" t="s">
        <v>1831</v>
      </c>
      <c r="M501" s="73">
        <v>6204420000</v>
      </c>
      <c r="N501" s="7"/>
      <c r="O501" s="86" t="s">
        <v>94</v>
      </c>
      <c r="P501">
        <v>1</v>
      </c>
    </row>
    <row r="502" spans="1:16" customFormat="1" ht="15">
      <c r="A502" s="84" t="str">
        <f>LEFT(M502,4)</f>
        <v>6204</v>
      </c>
      <c r="B502" s="84" t="str">
        <f t="shared" si="8"/>
        <v>ПЛАТЬЕ Без товарного знака жен. Артикул 2867 цвет БОРДОВЫЙ р. 56</v>
      </c>
      <c r="C502" s="69" t="s">
        <v>1690</v>
      </c>
      <c r="D502" s="69" t="s">
        <v>55</v>
      </c>
      <c r="E502" s="91" t="s">
        <v>1830</v>
      </c>
      <c r="F502" s="69" t="s">
        <v>1691</v>
      </c>
      <c r="G502" s="72" t="s">
        <v>117</v>
      </c>
      <c r="H502" s="69" t="s">
        <v>1692</v>
      </c>
      <c r="I502" s="69" t="s">
        <v>59</v>
      </c>
      <c r="J502" s="86">
        <v>56</v>
      </c>
      <c r="K502" s="86" t="s">
        <v>1831</v>
      </c>
      <c r="L502" s="86" t="s">
        <v>1831</v>
      </c>
      <c r="M502" s="73">
        <v>6204420000</v>
      </c>
      <c r="N502" s="7"/>
      <c r="O502" s="86" t="s">
        <v>94</v>
      </c>
      <c r="P502">
        <v>1</v>
      </c>
    </row>
    <row r="503" spans="1:16" customFormat="1" ht="15">
      <c r="A503" s="84" t="str">
        <f>LEFT(M503,4)</f>
        <v>6204</v>
      </c>
      <c r="B503" s="84" t="str">
        <f t="shared" si="8"/>
        <v>ПЛАТЬЕ Без товарного знака жен. Артикул 2867 цвет БОРДОВЫЙ р. 58</v>
      </c>
      <c r="C503" s="69" t="s">
        <v>1690</v>
      </c>
      <c r="D503" s="69" t="s">
        <v>55</v>
      </c>
      <c r="E503" s="91" t="s">
        <v>1830</v>
      </c>
      <c r="F503" s="69" t="s">
        <v>1691</v>
      </c>
      <c r="G503" s="72" t="s">
        <v>117</v>
      </c>
      <c r="H503" s="69" t="s">
        <v>1692</v>
      </c>
      <c r="I503" s="69" t="s">
        <v>59</v>
      </c>
      <c r="J503" s="86">
        <v>58</v>
      </c>
      <c r="K503" s="86" t="s">
        <v>1831</v>
      </c>
      <c r="L503" s="86" t="s">
        <v>1831</v>
      </c>
      <c r="M503" s="73">
        <v>6204420000</v>
      </c>
      <c r="N503" s="7"/>
      <c r="O503" s="86" t="s">
        <v>94</v>
      </c>
      <c r="P503">
        <v>1</v>
      </c>
    </row>
    <row r="504" spans="1:16" customFormat="1" ht="15">
      <c r="A504" s="84" t="str">
        <f>LEFT(M504,4)</f>
        <v>6204</v>
      </c>
      <c r="B504" s="84" t="str">
        <f t="shared" si="8"/>
        <v>ПЛАТЬЕ Без товарного знака жен. Артикул 0105848 цвет РАЗНОЦВЕТНЫЙ р. 54</v>
      </c>
      <c r="C504" s="69" t="s">
        <v>1690</v>
      </c>
      <c r="D504" s="69" t="s">
        <v>55</v>
      </c>
      <c r="E504" s="91" t="s">
        <v>1832</v>
      </c>
      <c r="F504" s="69" t="s">
        <v>1691</v>
      </c>
      <c r="G504" s="72" t="s">
        <v>229</v>
      </c>
      <c r="H504" s="69" t="s">
        <v>1692</v>
      </c>
      <c r="I504" s="69" t="s">
        <v>59</v>
      </c>
      <c r="J504" s="86">
        <v>54</v>
      </c>
      <c r="K504" s="86" t="s">
        <v>1833</v>
      </c>
      <c r="L504" s="86" t="s">
        <v>1833</v>
      </c>
      <c r="M504" s="73">
        <v>6204430000</v>
      </c>
      <c r="N504" s="7"/>
      <c r="O504" s="86" t="s">
        <v>59</v>
      </c>
      <c r="P504">
        <v>1</v>
      </c>
    </row>
    <row r="505" spans="1:16" customFormat="1" ht="15">
      <c r="A505" s="84" t="str">
        <f>LEFT(M505,4)</f>
        <v>6204</v>
      </c>
      <c r="B505" s="84" t="str">
        <f t="shared" si="8"/>
        <v>ПЛАТЬЕ Без товарного знака жен. Артикул 5768 цвет РАЗНОЦВЕТНЫЙ р. 54</v>
      </c>
      <c r="C505" s="69" t="s">
        <v>1690</v>
      </c>
      <c r="D505" s="69" t="s">
        <v>55</v>
      </c>
      <c r="E505" s="91" t="s">
        <v>1834</v>
      </c>
      <c r="F505" s="69" t="s">
        <v>1691</v>
      </c>
      <c r="G505" s="72" t="s">
        <v>229</v>
      </c>
      <c r="H505" s="69" t="s">
        <v>1692</v>
      </c>
      <c r="I505" s="69" t="s">
        <v>59</v>
      </c>
      <c r="J505" s="86">
        <v>54</v>
      </c>
      <c r="K505" s="86" t="s">
        <v>1835</v>
      </c>
      <c r="L505" s="86" t="s">
        <v>1835</v>
      </c>
      <c r="M505" s="73">
        <v>6204420000</v>
      </c>
      <c r="N505" s="7"/>
      <c r="O505" s="86" t="s">
        <v>582</v>
      </c>
      <c r="P505">
        <v>1</v>
      </c>
    </row>
    <row r="506" spans="1:16" customFormat="1" ht="15">
      <c r="A506" s="84" t="str">
        <f>LEFT(M506,4)</f>
        <v>6204</v>
      </c>
      <c r="B506" s="84" t="str">
        <f t="shared" si="8"/>
        <v>ПЛАТЬЕ Без товарного знака жен. Артикул 5768 цвет РАЗНОЦВЕТНЫЙ р. 56</v>
      </c>
      <c r="C506" s="69" t="s">
        <v>1690</v>
      </c>
      <c r="D506" s="69" t="s">
        <v>55</v>
      </c>
      <c r="E506" s="91" t="s">
        <v>1834</v>
      </c>
      <c r="F506" s="69" t="s">
        <v>1691</v>
      </c>
      <c r="G506" s="72" t="s">
        <v>229</v>
      </c>
      <c r="H506" s="69" t="s">
        <v>1692</v>
      </c>
      <c r="I506" s="69" t="s">
        <v>59</v>
      </c>
      <c r="J506" s="86">
        <v>56</v>
      </c>
      <c r="K506" s="86" t="s">
        <v>1835</v>
      </c>
      <c r="L506" s="86" t="s">
        <v>1835</v>
      </c>
      <c r="M506" s="73">
        <v>6204420000</v>
      </c>
      <c r="N506" s="7"/>
      <c r="O506" s="86" t="s">
        <v>582</v>
      </c>
      <c r="P506">
        <v>1</v>
      </c>
    </row>
    <row r="507" spans="1:16" customFormat="1" ht="15">
      <c r="A507" s="84" t="str">
        <f>LEFT(M507,4)</f>
        <v>6204</v>
      </c>
      <c r="B507" s="84" t="str">
        <f t="shared" si="8"/>
        <v>ПЛАТЬЕ Без товарного знака жен. Артикул 1402 цвет РАЗНОЦВЕТНЫЙ р. 54</v>
      </c>
      <c r="C507" s="69" t="s">
        <v>1690</v>
      </c>
      <c r="D507" s="69" t="s">
        <v>55</v>
      </c>
      <c r="E507" s="91" t="s">
        <v>1836</v>
      </c>
      <c r="F507" s="69" t="s">
        <v>1691</v>
      </c>
      <c r="G507" s="72" t="s">
        <v>229</v>
      </c>
      <c r="H507" s="69" t="s">
        <v>1692</v>
      </c>
      <c r="I507" s="69" t="s">
        <v>59</v>
      </c>
      <c r="J507" s="86">
        <v>54</v>
      </c>
      <c r="K507" s="86" t="s">
        <v>1693</v>
      </c>
      <c r="L507" s="86" t="s">
        <v>1693</v>
      </c>
      <c r="M507" s="73">
        <v>6204430000</v>
      </c>
      <c r="N507" s="7"/>
      <c r="O507" s="86" t="s">
        <v>94</v>
      </c>
      <c r="P507">
        <v>1</v>
      </c>
    </row>
    <row r="508" spans="1:16" customFormat="1" ht="15">
      <c r="A508" s="84" t="str">
        <f>LEFT(M508,4)</f>
        <v>6204</v>
      </c>
      <c r="B508" s="84" t="str">
        <f t="shared" si="8"/>
        <v>ПЛАТЬЕ Без товарного знака жен. Артикул 8151 цвет РОЗОВЫЙ р. 54</v>
      </c>
      <c r="C508" s="69" t="s">
        <v>1690</v>
      </c>
      <c r="D508" s="69" t="s">
        <v>55</v>
      </c>
      <c r="E508" s="91" t="s">
        <v>1837</v>
      </c>
      <c r="F508" s="69" t="s">
        <v>1691</v>
      </c>
      <c r="G508" s="72" t="s">
        <v>235</v>
      </c>
      <c r="H508" s="69" t="s">
        <v>1692</v>
      </c>
      <c r="I508" s="69" t="s">
        <v>59</v>
      </c>
      <c r="J508" s="86">
        <v>54</v>
      </c>
      <c r="K508" s="86" t="s">
        <v>1693</v>
      </c>
      <c r="L508" s="86" t="s">
        <v>1693</v>
      </c>
      <c r="M508" s="73">
        <v>6204430000</v>
      </c>
      <c r="N508" s="7"/>
      <c r="O508" s="86" t="s">
        <v>94</v>
      </c>
      <c r="P508">
        <v>1</v>
      </c>
    </row>
    <row r="509" spans="1:16" customFormat="1" ht="15">
      <c r="A509" s="84" t="str">
        <f>LEFT(M509,4)</f>
        <v>6204</v>
      </c>
      <c r="B509" s="84" t="str">
        <f t="shared" si="8"/>
        <v>ПЛАТЬЕ Без товарного знака жен. Артикул 1217 цвет РАЗНОЦВЕТНЫЙ р. 54</v>
      </c>
      <c r="C509" s="69" t="s">
        <v>1690</v>
      </c>
      <c r="D509" s="69" t="s">
        <v>55</v>
      </c>
      <c r="E509" s="91" t="s">
        <v>1838</v>
      </c>
      <c r="F509" s="69" t="s">
        <v>1691</v>
      </c>
      <c r="G509" s="72" t="s">
        <v>229</v>
      </c>
      <c r="H509" s="69" t="s">
        <v>1692</v>
      </c>
      <c r="I509" s="69" t="s">
        <v>59</v>
      </c>
      <c r="J509" s="86">
        <v>54</v>
      </c>
      <c r="K509" s="86" t="s">
        <v>1693</v>
      </c>
      <c r="L509" s="86" t="s">
        <v>1693</v>
      </c>
      <c r="M509" s="73">
        <v>6204430000</v>
      </c>
      <c r="N509" s="7"/>
      <c r="O509" s="86" t="s">
        <v>94</v>
      </c>
      <c r="P509">
        <v>1</v>
      </c>
    </row>
    <row r="510" spans="1:16" customFormat="1" ht="15">
      <c r="A510" s="84" t="str">
        <f>LEFT(M510,4)</f>
        <v>6204</v>
      </c>
      <c r="B510" s="84" t="str">
        <f t="shared" si="8"/>
        <v>ПЛАТЬЕ Без товарного знака жен. Артикул 4828 цвет БОРДОВЫЙ р. 54</v>
      </c>
      <c r="C510" s="69" t="s">
        <v>1690</v>
      </c>
      <c r="D510" s="69" t="s">
        <v>55</v>
      </c>
      <c r="E510" s="91" t="s">
        <v>1839</v>
      </c>
      <c r="F510" s="69" t="s">
        <v>1691</v>
      </c>
      <c r="G510" s="72" t="s">
        <v>117</v>
      </c>
      <c r="H510" s="69" t="s">
        <v>1692</v>
      </c>
      <c r="I510" s="69" t="s">
        <v>59</v>
      </c>
      <c r="J510" s="86">
        <v>54</v>
      </c>
      <c r="K510" s="86" t="s">
        <v>1693</v>
      </c>
      <c r="L510" s="86" t="s">
        <v>1693</v>
      </c>
      <c r="M510" s="73">
        <v>6204430000</v>
      </c>
      <c r="N510" s="7"/>
      <c r="O510" s="86" t="s">
        <v>94</v>
      </c>
      <c r="P510">
        <v>1</v>
      </c>
    </row>
    <row r="511" spans="1:16" customFormat="1" ht="15">
      <c r="A511" s="84" t="str">
        <f>LEFT(M511,4)</f>
        <v>6204</v>
      </c>
      <c r="B511" s="84" t="str">
        <f t="shared" si="8"/>
        <v>ПЛАТЬЕ Без товарного знака жен. Артикул 4059 цвет СТАЛЬ р. 54</v>
      </c>
      <c r="C511" s="69" t="s">
        <v>1690</v>
      </c>
      <c r="D511" s="69" t="s">
        <v>55</v>
      </c>
      <c r="E511" s="91" t="s">
        <v>1840</v>
      </c>
      <c r="F511" s="69" t="s">
        <v>1691</v>
      </c>
      <c r="G511" s="75" t="s">
        <v>1777</v>
      </c>
      <c r="H511" s="69" t="s">
        <v>1692</v>
      </c>
      <c r="I511" s="69" t="s">
        <v>59</v>
      </c>
      <c r="J511" s="86">
        <v>54</v>
      </c>
      <c r="K511" s="86" t="s">
        <v>1693</v>
      </c>
      <c r="L511" s="86" t="s">
        <v>1693</v>
      </c>
      <c r="M511" s="73">
        <v>6204430000</v>
      </c>
      <c r="N511" s="7"/>
      <c r="O511" s="86" t="s">
        <v>94</v>
      </c>
      <c r="P511">
        <v>1</v>
      </c>
    </row>
    <row r="512" spans="1:16" customFormat="1" ht="15">
      <c r="A512" s="84" t="str">
        <f>LEFT(M512,4)</f>
        <v>6204</v>
      </c>
      <c r="B512" s="84" t="str">
        <f t="shared" si="8"/>
        <v>ПЛАТЬЕ Без товарного знака жен. Артикул 6974 цвет РАЗНОЦВЕТНЫЙ р. 54</v>
      </c>
      <c r="C512" s="69" t="s">
        <v>1690</v>
      </c>
      <c r="D512" s="69" t="s">
        <v>55</v>
      </c>
      <c r="E512" s="91" t="s">
        <v>1841</v>
      </c>
      <c r="F512" s="69" t="s">
        <v>1691</v>
      </c>
      <c r="G512" s="72" t="s">
        <v>229</v>
      </c>
      <c r="H512" s="69" t="s">
        <v>1692</v>
      </c>
      <c r="I512" s="69" t="s">
        <v>59</v>
      </c>
      <c r="J512" s="86">
        <v>54</v>
      </c>
      <c r="K512" s="86" t="s">
        <v>1693</v>
      </c>
      <c r="L512" s="86" t="s">
        <v>1693</v>
      </c>
      <c r="M512" s="73">
        <v>6204430000</v>
      </c>
      <c r="N512" s="7"/>
      <c r="O512" s="86" t="s">
        <v>94</v>
      </c>
      <c r="P512">
        <v>1</v>
      </c>
    </row>
    <row r="513" spans="1:16" customFormat="1" ht="15">
      <c r="A513" s="84" t="str">
        <f>LEFT(M513,4)</f>
        <v>6204</v>
      </c>
      <c r="B513" s="84" t="str">
        <f t="shared" si="8"/>
        <v>ПЛАТЬЕ Без товарного знака жен. Артикул 7050 цвет РАЗНОЦВЕТНЫЙ р. 54</v>
      </c>
      <c r="C513" s="69" t="s">
        <v>1690</v>
      </c>
      <c r="D513" s="69" t="s">
        <v>55</v>
      </c>
      <c r="E513" s="91" t="s">
        <v>1842</v>
      </c>
      <c r="F513" s="69" t="s">
        <v>1691</v>
      </c>
      <c r="G513" s="72" t="s">
        <v>229</v>
      </c>
      <c r="H513" s="69" t="s">
        <v>1692</v>
      </c>
      <c r="I513" s="69" t="s">
        <v>59</v>
      </c>
      <c r="J513" s="86">
        <v>54</v>
      </c>
      <c r="K513" s="86" t="s">
        <v>1693</v>
      </c>
      <c r="L513" s="86" t="s">
        <v>1693</v>
      </c>
      <c r="M513" s="73">
        <v>6204430000</v>
      </c>
      <c r="N513" s="7"/>
      <c r="O513" s="86" t="s">
        <v>582</v>
      </c>
      <c r="P513">
        <v>1</v>
      </c>
    </row>
    <row r="514" spans="1:16" customFormat="1" ht="15">
      <c r="A514" s="84" t="str">
        <f>LEFT(M514,4)</f>
        <v>6204</v>
      </c>
      <c r="B514" s="84" t="str">
        <f t="shared" si="8"/>
        <v>ПЛАТЬЕ Без товарного знака жен. Артикул 7286 цвет РАЗНОЦВЕТНЫЙ р. 54</v>
      </c>
      <c r="C514" s="69" t="s">
        <v>1690</v>
      </c>
      <c r="D514" s="69" t="s">
        <v>55</v>
      </c>
      <c r="E514" s="91" t="s">
        <v>1843</v>
      </c>
      <c r="F514" s="69" t="s">
        <v>1691</v>
      </c>
      <c r="G514" s="72" t="s">
        <v>229</v>
      </c>
      <c r="H514" s="69" t="s">
        <v>1692</v>
      </c>
      <c r="I514" s="69" t="s">
        <v>59</v>
      </c>
      <c r="J514" s="86">
        <v>54</v>
      </c>
      <c r="K514" s="86" t="s">
        <v>1693</v>
      </c>
      <c r="L514" s="86" t="s">
        <v>1693</v>
      </c>
      <c r="M514" s="73">
        <v>6204430000</v>
      </c>
      <c r="N514" s="7"/>
      <c r="O514" s="86" t="s">
        <v>94</v>
      </c>
      <c r="P514">
        <v>1</v>
      </c>
    </row>
    <row r="515" spans="1:16" customFormat="1" ht="15">
      <c r="A515" s="84" t="str">
        <f>LEFT(M515,4)</f>
        <v>6204</v>
      </c>
      <c r="B515" s="84" t="str">
        <f t="shared" si="8"/>
        <v>ПЛАТЬЕ Без товарного знака жен. Артикул 418075 цвет РАЗНОЦВЕТНЫЙ р. 54</v>
      </c>
      <c r="C515" s="69" t="s">
        <v>1690</v>
      </c>
      <c r="D515" s="69" t="s">
        <v>55</v>
      </c>
      <c r="E515" s="91" t="s">
        <v>1844</v>
      </c>
      <c r="F515" s="69" t="s">
        <v>1691</v>
      </c>
      <c r="G515" s="72" t="s">
        <v>229</v>
      </c>
      <c r="H515" s="69" t="s">
        <v>1692</v>
      </c>
      <c r="I515" s="69" t="s">
        <v>59</v>
      </c>
      <c r="J515" s="86">
        <v>54</v>
      </c>
      <c r="K515" s="86" t="s">
        <v>1693</v>
      </c>
      <c r="L515" s="86" t="s">
        <v>1693</v>
      </c>
      <c r="M515" s="73">
        <v>6204430000</v>
      </c>
      <c r="N515" s="7"/>
      <c r="O515" s="86" t="s">
        <v>94</v>
      </c>
      <c r="P515">
        <v>1</v>
      </c>
    </row>
    <row r="516" spans="1:16" customFormat="1" ht="15">
      <c r="A516" s="84" t="str">
        <f>LEFT(M516,4)</f>
        <v>6204</v>
      </c>
      <c r="B516" s="84" t="str">
        <f t="shared" si="8"/>
        <v>ПЛАТЬЕ Без товарного знака жен. Артикул 5468 цвет РАЗНОЦВЕТНЫЙ р. 52</v>
      </c>
      <c r="C516" s="69" t="s">
        <v>1690</v>
      </c>
      <c r="D516" s="69" t="s">
        <v>55</v>
      </c>
      <c r="E516" s="91" t="s">
        <v>1845</v>
      </c>
      <c r="F516" s="69" t="s">
        <v>1691</v>
      </c>
      <c r="G516" s="72" t="s">
        <v>229</v>
      </c>
      <c r="H516" s="69" t="s">
        <v>1692</v>
      </c>
      <c r="I516" s="69" t="s">
        <v>59</v>
      </c>
      <c r="J516" s="86">
        <v>52</v>
      </c>
      <c r="K516" s="86" t="s">
        <v>1693</v>
      </c>
      <c r="L516" s="86" t="s">
        <v>1693</v>
      </c>
      <c r="M516" s="73">
        <v>6204430000</v>
      </c>
      <c r="N516" s="7"/>
      <c r="O516" s="86" t="s">
        <v>94</v>
      </c>
      <c r="P516">
        <v>1</v>
      </c>
    </row>
    <row r="517" spans="1:16" customFormat="1" ht="15">
      <c r="A517" s="84" t="str">
        <f>LEFT(M517,4)</f>
        <v>6204</v>
      </c>
      <c r="B517" s="84" t="str">
        <f t="shared" si="8"/>
        <v>ПЛАТЬЕ Без товарного знака жен. Артикул 5468 цвет РАЗНОЦВЕТНЫЙ р. 54</v>
      </c>
      <c r="C517" s="69" t="s">
        <v>1690</v>
      </c>
      <c r="D517" s="69" t="s">
        <v>55</v>
      </c>
      <c r="E517" s="91" t="s">
        <v>1845</v>
      </c>
      <c r="F517" s="69" t="s">
        <v>1691</v>
      </c>
      <c r="G517" s="72" t="s">
        <v>229</v>
      </c>
      <c r="H517" s="69" t="s">
        <v>1692</v>
      </c>
      <c r="I517" s="69" t="s">
        <v>59</v>
      </c>
      <c r="J517" s="86">
        <v>54</v>
      </c>
      <c r="K517" s="86" t="s">
        <v>1693</v>
      </c>
      <c r="L517" s="86" t="s">
        <v>1693</v>
      </c>
      <c r="M517" s="73">
        <v>6204430000</v>
      </c>
      <c r="N517" s="7"/>
      <c r="O517" s="86" t="s">
        <v>94</v>
      </c>
      <c r="P517">
        <v>1</v>
      </c>
    </row>
    <row r="518" spans="1:16" customFormat="1" ht="15">
      <c r="A518" s="84" t="str">
        <f>LEFT(M518,4)</f>
        <v>6204</v>
      </c>
      <c r="B518" s="84" t="str">
        <f t="shared" si="8"/>
        <v>ПЛАТЬЕ Без товарного знака жен. Артикул 7447 цвет РАЗНОЦВЕТНЫЙ р. 54</v>
      </c>
      <c r="C518" s="69" t="s">
        <v>1690</v>
      </c>
      <c r="D518" s="69" t="s">
        <v>55</v>
      </c>
      <c r="E518" s="91" t="s">
        <v>1846</v>
      </c>
      <c r="F518" s="69" t="s">
        <v>1691</v>
      </c>
      <c r="G518" s="72" t="s">
        <v>229</v>
      </c>
      <c r="H518" s="69" t="s">
        <v>1692</v>
      </c>
      <c r="I518" s="69" t="s">
        <v>59</v>
      </c>
      <c r="J518" s="86">
        <v>54</v>
      </c>
      <c r="K518" s="86" t="s">
        <v>1693</v>
      </c>
      <c r="L518" s="86" t="s">
        <v>1693</v>
      </c>
      <c r="M518" s="73">
        <v>6204430000</v>
      </c>
      <c r="N518" s="7"/>
      <c r="O518" s="86" t="s">
        <v>94</v>
      </c>
      <c r="P518">
        <v>1</v>
      </c>
    </row>
    <row r="519" spans="1:16" customFormat="1" ht="15">
      <c r="A519" s="84" t="str">
        <f>LEFT(M519,4)</f>
        <v>6204</v>
      </c>
      <c r="B519" s="84" t="str">
        <f t="shared" si="8"/>
        <v>ПЛАТЬЕ Без товарного знака жен. Артикул 5973 цвет РАЗНОЦВЕТНЫЙ р. 56</v>
      </c>
      <c r="C519" s="69" t="s">
        <v>1690</v>
      </c>
      <c r="D519" s="69" t="s">
        <v>55</v>
      </c>
      <c r="E519" s="91" t="s">
        <v>1847</v>
      </c>
      <c r="F519" s="69" t="s">
        <v>1691</v>
      </c>
      <c r="G519" s="72" t="s">
        <v>229</v>
      </c>
      <c r="H519" s="69" t="s">
        <v>1692</v>
      </c>
      <c r="I519" s="69" t="s">
        <v>59</v>
      </c>
      <c r="J519" s="86">
        <v>56</v>
      </c>
      <c r="K519" s="86" t="s">
        <v>1738</v>
      </c>
      <c r="L519" s="86" t="s">
        <v>1738</v>
      </c>
      <c r="M519" s="73">
        <v>6204420000</v>
      </c>
      <c r="N519" s="7"/>
      <c r="O519" s="86" t="s">
        <v>94</v>
      </c>
      <c r="P519">
        <v>1</v>
      </c>
    </row>
    <row r="520" spans="1:16" customFormat="1" ht="15">
      <c r="A520" s="84" t="str">
        <f>LEFT(M520,4)</f>
        <v>6204</v>
      </c>
      <c r="B520" s="84" t="str">
        <f t="shared" si="8"/>
        <v>ПЛАТЬЕ Без товарного знака жен. Артикул 5973 цвет РАЗНОЦВЕТНЫЙ р. 58</v>
      </c>
      <c r="C520" s="69" t="s">
        <v>1690</v>
      </c>
      <c r="D520" s="69" t="s">
        <v>55</v>
      </c>
      <c r="E520" s="91" t="s">
        <v>1847</v>
      </c>
      <c r="F520" s="69" t="s">
        <v>1691</v>
      </c>
      <c r="G520" s="72" t="s">
        <v>229</v>
      </c>
      <c r="H520" s="69" t="s">
        <v>1692</v>
      </c>
      <c r="I520" s="69" t="s">
        <v>59</v>
      </c>
      <c r="J520" s="86">
        <v>58</v>
      </c>
      <c r="K520" s="86" t="s">
        <v>1738</v>
      </c>
      <c r="L520" s="86" t="s">
        <v>1738</v>
      </c>
      <c r="M520" s="73">
        <v>6204420000</v>
      </c>
      <c r="N520" s="7"/>
      <c r="O520" s="86" t="s">
        <v>94</v>
      </c>
      <c r="P520">
        <v>1</v>
      </c>
    </row>
    <row r="521" spans="1:16" customFormat="1" ht="15">
      <c r="A521" s="84" t="str">
        <f>LEFT(M521,4)</f>
        <v>6204</v>
      </c>
      <c r="B521" s="84" t="str">
        <f t="shared" si="8"/>
        <v>ПЛАТЬЕ Без товарного знака жен. Артикул 7573 цвет КАПУЧИНО р. 54</v>
      </c>
      <c r="C521" s="69" t="s">
        <v>1690</v>
      </c>
      <c r="D521" s="69" t="s">
        <v>55</v>
      </c>
      <c r="E521" s="91" t="s">
        <v>1848</v>
      </c>
      <c r="F521" s="69" t="s">
        <v>1691</v>
      </c>
      <c r="G521" s="72" t="s">
        <v>164</v>
      </c>
      <c r="H521" s="69" t="s">
        <v>1692</v>
      </c>
      <c r="I521" s="69" t="s">
        <v>59</v>
      </c>
      <c r="J521" s="86">
        <v>54</v>
      </c>
      <c r="K521" s="86" t="s">
        <v>1753</v>
      </c>
      <c r="L521" s="86" t="s">
        <v>1753</v>
      </c>
      <c r="M521" s="73">
        <v>6204420000</v>
      </c>
      <c r="N521" s="7"/>
      <c r="O521" s="86" t="s">
        <v>94</v>
      </c>
      <c r="P521">
        <v>1</v>
      </c>
    </row>
    <row r="522" spans="1:16" customFormat="1" ht="15">
      <c r="A522" s="84" t="str">
        <f>LEFT(M522,4)</f>
        <v>6204</v>
      </c>
      <c r="B522" s="84" t="str">
        <f t="shared" si="8"/>
        <v>ПЛАТЬЕ Без товарного знака жен. Артикул 7573 цвет КАПУЧИНО р. 56</v>
      </c>
      <c r="C522" s="69" t="s">
        <v>1690</v>
      </c>
      <c r="D522" s="69" t="s">
        <v>55</v>
      </c>
      <c r="E522" s="91" t="s">
        <v>1848</v>
      </c>
      <c r="F522" s="69" t="s">
        <v>1691</v>
      </c>
      <c r="G522" s="72" t="s">
        <v>164</v>
      </c>
      <c r="H522" s="69" t="s">
        <v>1692</v>
      </c>
      <c r="I522" s="69" t="s">
        <v>59</v>
      </c>
      <c r="J522" s="86">
        <v>56</v>
      </c>
      <c r="K522" s="86" t="s">
        <v>1753</v>
      </c>
      <c r="L522" s="86" t="s">
        <v>1753</v>
      </c>
      <c r="M522" s="73">
        <v>6204420000</v>
      </c>
      <c r="N522" s="7"/>
      <c r="O522" s="86" t="s">
        <v>94</v>
      </c>
      <c r="P522">
        <v>1</v>
      </c>
    </row>
    <row r="523" spans="1:16" customFormat="1" ht="15">
      <c r="A523" s="84" t="str">
        <f>LEFT(M523,4)</f>
        <v>6204</v>
      </c>
      <c r="B523" s="84" t="str">
        <f t="shared" si="8"/>
        <v>ПЛАТЬЕ Без товарного знака жен. Артикул 4196 цвет ПУДРА р. 54</v>
      </c>
      <c r="C523" s="69" t="s">
        <v>1690</v>
      </c>
      <c r="D523" s="69" t="s">
        <v>55</v>
      </c>
      <c r="E523" s="91" t="s">
        <v>1849</v>
      </c>
      <c r="F523" s="69" t="s">
        <v>1691</v>
      </c>
      <c r="G523" s="75" t="s">
        <v>1774</v>
      </c>
      <c r="H523" s="69" t="s">
        <v>1692</v>
      </c>
      <c r="I523" s="69" t="s">
        <v>59</v>
      </c>
      <c r="J523" s="86">
        <v>54</v>
      </c>
      <c r="K523" s="86" t="s">
        <v>1693</v>
      </c>
      <c r="L523" s="86" t="s">
        <v>1693</v>
      </c>
      <c r="M523" s="73">
        <v>6204430000</v>
      </c>
      <c r="N523" s="7"/>
      <c r="O523" s="86" t="s">
        <v>94</v>
      </c>
      <c r="P523">
        <v>1</v>
      </c>
    </row>
    <row r="524" spans="1:16" customFormat="1" ht="15">
      <c r="A524" s="84" t="str">
        <f>LEFT(M524,4)</f>
        <v>6204</v>
      </c>
      <c r="B524" s="84" t="str">
        <f t="shared" si="8"/>
        <v>ПЛАТЬЕ Без товарного знака жен. Артикул 7531 цвет ТЕМНО-СИНИЙ р. 54</v>
      </c>
      <c r="C524" s="69" t="s">
        <v>1690</v>
      </c>
      <c r="D524" s="69" t="s">
        <v>55</v>
      </c>
      <c r="E524" s="91" t="s">
        <v>1850</v>
      </c>
      <c r="F524" s="69" t="s">
        <v>1691</v>
      </c>
      <c r="G524" s="72" t="s">
        <v>309</v>
      </c>
      <c r="H524" s="69" t="s">
        <v>1692</v>
      </c>
      <c r="I524" s="69" t="s">
        <v>59</v>
      </c>
      <c r="J524" s="86">
        <v>54</v>
      </c>
      <c r="K524" s="86" t="s">
        <v>1693</v>
      </c>
      <c r="L524" s="86" t="s">
        <v>1693</v>
      </c>
      <c r="M524" s="73">
        <v>6204430000</v>
      </c>
      <c r="N524" s="7"/>
      <c r="O524" s="86" t="s">
        <v>94</v>
      </c>
      <c r="P524">
        <v>1</v>
      </c>
    </row>
    <row r="525" spans="1:16" customFormat="1" ht="15">
      <c r="A525" s="84" t="str">
        <f>LEFT(M525,4)</f>
        <v>6204</v>
      </c>
      <c r="B525" s="84" t="str">
        <f t="shared" si="8"/>
        <v>ПЛАТЬЕ Без товарного знака жен. Артикул 1379 цвет ФИОЛЕТОВЫЙ р. 54</v>
      </c>
      <c r="C525" s="69" t="s">
        <v>1690</v>
      </c>
      <c r="D525" s="69" t="s">
        <v>55</v>
      </c>
      <c r="E525" s="91" t="s">
        <v>1851</v>
      </c>
      <c r="F525" s="69" t="s">
        <v>1691</v>
      </c>
      <c r="G525" s="72" t="s">
        <v>318</v>
      </c>
      <c r="H525" s="69" t="s">
        <v>1692</v>
      </c>
      <c r="I525" s="69" t="s">
        <v>59</v>
      </c>
      <c r="J525" s="86">
        <v>54</v>
      </c>
      <c r="K525" s="86" t="s">
        <v>1693</v>
      </c>
      <c r="L525" s="86" t="s">
        <v>1693</v>
      </c>
      <c r="M525" s="73">
        <v>6204430000</v>
      </c>
      <c r="N525" s="7"/>
      <c r="O525" s="86" t="s">
        <v>94</v>
      </c>
      <c r="P525">
        <v>1</v>
      </c>
    </row>
    <row r="526" spans="1:16" customFormat="1" ht="15">
      <c r="A526" s="84" t="str">
        <f>LEFT(M526,4)</f>
        <v>6204</v>
      </c>
      <c r="B526" s="84" t="str">
        <f t="shared" si="8"/>
        <v>ПЛАТЬЕ Без товарного знака жен. Артикул 1013 цвет ТЕМНО-СИНИЙ р. 50</v>
      </c>
      <c r="C526" s="69" t="s">
        <v>1690</v>
      </c>
      <c r="D526" s="69" t="s">
        <v>55</v>
      </c>
      <c r="E526" s="91" t="s">
        <v>1852</v>
      </c>
      <c r="F526" s="69" t="s">
        <v>1691</v>
      </c>
      <c r="G526" s="72" t="s">
        <v>309</v>
      </c>
      <c r="H526" s="69" t="s">
        <v>1692</v>
      </c>
      <c r="I526" s="69" t="s">
        <v>59</v>
      </c>
      <c r="J526" s="86">
        <v>50</v>
      </c>
      <c r="K526" s="86" t="s">
        <v>1693</v>
      </c>
      <c r="L526" s="86" t="s">
        <v>1693</v>
      </c>
      <c r="M526" s="73">
        <v>6204430000</v>
      </c>
      <c r="N526" s="7"/>
      <c r="O526" s="86" t="s">
        <v>94</v>
      </c>
      <c r="P526">
        <v>1</v>
      </c>
    </row>
    <row r="527" spans="1:16" customFormat="1" ht="15">
      <c r="A527" s="84" t="str">
        <f>LEFT(M527,4)</f>
        <v>6204</v>
      </c>
      <c r="B527" s="84" t="str">
        <f t="shared" si="8"/>
        <v>ПЛАТЬЕ Без товарного знака жен. Артикул 1013 цвет ТЕМНО-СИНИЙ р. 52</v>
      </c>
      <c r="C527" s="69" t="s">
        <v>1690</v>
      </c>
      <c r="D527" s="69" t="s">
        <v>55</v>
      </c>
      <c r="E527" s="91" t="s">
        <v>1852</v>
      </c>
      <c r="F527" s="69" t="s">
        <v>1691</v>
      </c>
      <c r="G527" s="72" t="s">
        <v>309</v>
      </c>
      <c r="H527" s="69" t="s">
        <v>1692</v>
      </c>
      <c r="I527" s="69" t="s">
        <v>59</v>
      </c>
      <c r="J527" s="86">
        <v>52</v>
      </c>
      <c r="K527" s="86" t="s">
        <v>1693</v>
      </c>
      <c r="L527" s="86" t="s">
        <v>1693</v>
      </c>
      <c r="M527" s="73">
        <v>6204430000</v>
      </c>
      <c r="N527" s="7"/>
      <c r="O527" s="86" t="s">
        <v>94</v>
      </c>
      <c r="P527">
        <v>1</v>
      </c>
    </row>
    <row r="528" spans="1:16" customFormat="1" ht="15">
      <c r="A528" s="84" t="str">
        <f>LEFT(M528,4)</f>
        <v>6204</v>
      </c>
      <c r="B528" s="84" t="str">
        <f t="shared" si="8"/>
        <v>ПЛАТЬЕ Без товарного знака жен. Артикул 1013 цвет ТЕМНО-СИНИЙ р. 54</v>
      </c>
      <c r="C528" s="69" t="s">
        <v>1690</v>
      </c>
      <c r="D528" s="69" t="s">
        <v>55</v>
      </c>
      <c r="E528" s="91" t="s">
        <v>1852</v>
      </c>
      <c r="F528" s="69" t="s">
        <v>1691</v>
      </c>
      <c r="G528" s="72" t="s">
        <v>309</v>
      </c>
      <c r="H528" s="69" t="s">
        <v>1692</v>
      </c>
      <c r="I528" s="69" t="s">
        <v>59</v>
      </c>
      <c r="J528" s="86">
        <v>54</v>
      </c>
      <c r="K528" s="86" t="s">
        <v>1693</v>
      </c>
      <c r="L528" s="86" t="s">
        <v>1693</v>
      </c>
      <c r="M528" s="73">
        <v>6204430000</v>
      </c>
      <c r="N528" s="7"/>
      <c r="O528" s="86" t="s">
        <v>94</v>
      </c>
      <c r="P528">
        <v>1</v>
      </c>
    </row>
    <row r="529" spans="1:16" customFormat="1" ht="15">
      <c r="A529" s="84" t="str">
        <f>LEFT(M529,4)</f>
        <v>6204</v>
      </c>
      <c r="B529" s="84" t="str">
        <f t="shared" si="8"/>
        <v>ПЛАТЬЕ Без товарного знака жен. Артикул 1013 цвет ТЕМНО-СИНИЙ р. 52</v>
      </c>
      <c r="C529" s="69" t="s">
        <v>1690</v>
      </c>
      <c r="D529" s="69" t="s">
        <v>55</v>
      </c>
      <c r="E529" s="91" t="s">
        <v>1852</v>
      </c>
      <c r="F529" s="69" t="s">
        <v>1691</v>
      </c>
      <c r="G529" s="72" t="s">
        <v>309</v>
      </c>
      <c r="H529" s="69" t="s">
        <v>1692</v>
      </c>
      <c r="I529" s="69" t="s">
        <v>59</v>
      </c>
      <c r="J529" s="86">
        <v>52</v>
      </c>
      <c r="K529" s="86" t="s">
        <v>1693</v>
      </c>
      <c r="L529" s="86" t="s">
        <v>1693</v>
      </c>
      <c r="M529" s="73">
        <v>6204430000</v>
      </c>
      <c r="N529" s="7"/>
      <c r="O529" s="86" t="s">
        <v>94</v>
      </c>
      <c r="P529">
        <v>1</v>
      </c>
    </row>
    <row r="530" spans="1:16" customFormat="1" ht="15">
      <c r="A530" s="84" t="str">
        <f>LEFT(M530,4)</f>
        <v>6204</v>
      </c>
      <c r="B530" s="84" t="str">
        <f t="shared" si="8"/>
        <v>ПЛАТЬЕ Без товарного знака жен. Артикул 1013 цвет ТЕМНО-СИНИЙ р. 54</v>
      </c>
      <c r="C530" s="69" t="s">
        <v>1690</v>
      </c>
      <c r="D530" s="69" t="s">
        <v>55</v>
      </c>
      <c r="E530" s="91" t="s">
        <v>1852</v>
      </c>
      <c r="F530" s="69" t="s">
        <v>1691</v>
      </c>
      <c r="G530" s="72" t="s">
        <v>309</v>
      </c>
      <c r="H530" s="69" t="s">
        <v>1692</v>
      </c>
      <c r="I530" s="69" t="s">
        <v>59</v>
      </c>
      <c r="J530" s="86">
        <v>54</v>
      </c>
      <c r="K530" s="86" t="s">
        <v>1693</v>
      </c>
      <c r="L530" s="86" t="s">
        <v>1693</v>
      </c>
      <c r="M530" s="73">
        <v>6204430000</v>
      </c>
      <c r="N530" s="7"/>
      <c r="O530" s="86" t="s">
        <v>94</v>
      </c>
      <c r="P530">
        <v>1</v>
      </c>
    </row>
    <row r="531" spans="1:16" customFormat="1" ht="15">
      <c r="A531" s="84" t="str">
        <f>LEFT(M531,4)</f>
        <v>6204</v>
      </c>
      <c r="B531" s="84" t="str">
        <f t="shared" si="8"/>
        <v>ПЛАТЬЕ Без товарного знака жен. Артикул 5553 цвет ТЕМНО-СИНИЙ р. 54</v>
      </c>
      <c r="C531" s="69" t="s">
        <v>1690</v>
      </c>
      <c r="D531" s="69" t="s">
        <v>55</v>
      </c>
      <c r="E531" s="91" t="s">
        <v>1853</v>
      </c>
      <c r="F531" s="69" t="s">
        <v>1691</v>
      </c>
      <c r="G531" s="72" t="s">
        <v>309</v>
      </c>
      <c r="H531" s="69" t="s">
        <v>1692</v>
      </c>
      <c r="I531" s="69" t="s">
        <v>59</v>
      </c>
      <c r="J531" s="86">
        <v>54</v>
      </c>
      <c r="K531" s="86" t="s">
        <v>1693</v>
      </c>
      <c r="L531" s="86" t="s">
        <v>1693</v>
      </c>
      <c r="M531" s="73">
        <v>6204430000</v>
      </c>
      <c r="N531" s="7"/>
      <c r="O531" s="86" t="s">
        <v>94</v>
      </c>
      <c r="P531">
        <v>1</v>
      </c>
    </row>
    <row r="532" spans="1:16" customFormat="1" ht="15">
      <c r="A532" s="84" t="str">
        <f>LEFT(M532,4)</f>
        <v>6204</v>
      </c>
      <c r="B532" s="84" t="str">
        <f t="shared" si="8"/>
        <v>ПЛАТЬЕ Без товарного знака жен. Артикул 5553 цвет ТЕМНО-СИНИЙ р. 56</v>
      </c>
      <c r="C532" s="69" t="s">
        <v>1690</v>
      </c>
      <c r="D532" s="69" t="s">
        <v>55</v>
      </c>
      <c r="E532" s="91" t="s">
        <v>1853</v>
      </c>
      <c r="F532" s="69" t="s">
        <v>1691</v>
      </c>
      <c r="G532" s="72" t="s">
        <v>309</v>
      </c>
      <c r="H532" s="69" t="s">
        <v>1692</v>
      </c>
      <c r="I532" s="69" t="s">
        <v>59</v>
      </c>
      <c r="J532" s="86">
        <v>56</v>
      </c>
      <c r="K532" s="86" t="s">
        <v>1693</v>
      </c>
      <c r="L532" s="86" t="s">
        <v>1693</v>
      </c>
      <c r="M532" s="73">
        <v>6204430000</v>
      </c>
      <c r="N532" s="7"/>
      <c r="O532" s="86" t="s">
        <v>94</v>
      </c>
      <c r="P532">
        <v>1</v>
      </c>
    </row>
    <row r="533" spans="1:16" customFormat="1" ht="15">
      <c r="A533" s="84" t="str">
        <f>LEFT(M533,4)</f>
        <v>6204</v>
      </c>
      <c r="B533" s="84" t="str">
        <f t="shared" si="8"/>
        <v>ПЛАТЬЕ Без товарного знака жен. Артикул 5553 цвет ТЕМНО-СИНИЙ р. 58</v>
      </c>
      <c r="C533" s="69" t="s">
        <v>1690</v>
      </c>
      <c r="D533" s="69" t="s">
        <v>55</v>
      </c>
      <c r="E533" s="91" t="s">
        <v>1853</v>
      </c>
      <c r="F533" s="69" t="s">
        <v>1691</v>
      </c>
      <c r="G533" s="72" t="s">
        <v>309</v>
      </c>
      <c r="H533" s="69" t="s">
        <v>1692</v>
      </c>
      <c r="I533" s="69" t="s">
        <v>59</v>
      </c>
      <c r="J533" s="86">
        <v>58</v>
      </c>
      <c r="K533" s="86" t="s">
        <v>1693</v>
      </c>
      <c r="L533" s="86" t="s">
        <v>1693</v>
      </c>
      <c r="M533" s="73">
        <v>6204430000</v>
      </c>
      <c r="N533" s="7"/>
      <c r="O533" s="86" t="s">
        <v>94</v>
      </c>
      <c r="P533">
        <v>1</v>
      </c>
    </row>
    <row r="534" spans="1:16" customFormat="1" ht="15">
      <c r="A534" s="84" t="str">
        <f>LEFT(M534,4)</f>
        <v>6204</v>
      </c>
      <c r="B534" s="84" t="str">
        <f t="shared" si="8"/>
        <v>ПЛАТЬЕ Без товарного знака жен. Артикул 5553 цвет ТЕМНО-СИНИЙ р. 60</v>
      </c>
      <c r="C534" s="69" t="s">
        <v>1690</v>
      </c>
      <c r="D534" s="69" t="s">
        <v>55</v>
      </c>
      <c r="E534" s="91" t="s">
        <v>1853</v>
      </c>
      <c r="F534" s="69" t="s">
        <v>1691</v>
      </c>
      <c r="G534" s="72" t="s">
        <v>309</v>
      </c>
      <c r="H534" s="69" t="s">
        <v>1692</v>
      </c>
      <c r="I534" s="69" t="s">
        <v>59</v>
      </c>
      <c r="J534" s="86">
        <v>60</v>
      </c>
      <c r="K534" s="86" t="s">
        <v>1693</v>
      </c>
      <c r="L534" s="86" t="s">
        <v>1693</v>
      </c>
      <c r="M534" s="73">
        <v>6204430000</v>
      </c>
      <c r="N534" s="7"/>
      <c r="O534" s="86" t="s">
        <v>94</v>
      </c>
      <c r="P534">
        <v>1</v>
      </c>
    </row>
    <row r="535" spans="1:16" customFormat="1" ht="15">
      <c r="A535" s="84" t="str">
        <f>LEFT(M535,4)</f>
        <v>6204</v>
      </c>
      <c r="B535" s="84" t="str">
        <f t="shared" si="8"/>
        <v>ПЛАТЬЕ Без товарного знака жен. Артикул 5939 цвет РАЗНОЦВЕТНЫЙ р. 54</v>
      </c>
      <c r="C535" s="69" t="s">
        <v>1690</v>
      </c>
      <c r="D535" s="69" t="s">
        <v>55</v>
      </c>
      <c r="E535" s="91" t="s">
        <v>1854</v>
      </c>
      <c r="F535" s="69" t="s">
        <v>1691</v>
      </c>
      <c r="G535" s="72" t="s">
        <v>229</v>
      </c>
      <c r="H535" s="69" t="s">
        <v>1692</v>
      </c>
      <c r="I535" s="69" t="s">
        <v>59</v>
      </c>
      <c r="J535" s="86">
        <v>54</v>
      </c>
      <c r="K535" s="86" t="s">
        <v>1693</v>
      </c>
      <c r="L535" s="86" t="s">
        <v>1693</v>
      </c>
      <c r="M535" s="73">
        <v>6204430000</v>
      </c>
      <c r="N535" s="7"/>
      <c r="O535" s="86" t="s">
        <v>94</v>
      </c>
      <c r="P535">
        <v>1</v>
      </c>
    </row>
    <row r="536" spans="1:16" customFormat="1" ht="15">
      <c r="A536" s="84" t="str">
        <f>LEFT(M536,4)</f>
        <v>6204</v>
      </c>
      <c r="B536" s="84" t="str">
        <f t="shared" si="8"/>
        <v>ПЛАТЬЕ Без товарного знака жен. Артикул 1954 цвет РАЗНОЦВЕТНЫЙ р. 54</v>
      </c>
      <c r="C536" s="69" t="s">
        <v>1690</v>
      </c>
      <c r="D536" s="69" t="s">
        <v>55</v>
      </c>
      <c r="E536" s="91" t="s">
        <v>1855</v>
      </c>
      <c r="F536" s="69" t="s">
        <v>1691</v>
      </c>
      <c r="G536" s="72" t="s">
        <v>229</v>
      </c>
      <c r="H536" s="69" t="s">
        <v>1692</v>
      </c>
      <c r="I536" s="69" t="s">
        <v>59</v>
      </c>
      <c r="J536" s="86">
        <v>54</v>
      </c>
      <c r="K536" s="86" t="s">
        <v>1856</v>
      </c>
      <c r="L536" s="86" t="s">
        <v>1856</v>
      </c>
      <c r="M536" s="73">
        <v>6204420000</v>
      </c>
      <c r="N536" s="7"/>
      <c r="O536" s="86" t="s">
        <v>94</v>
      </c>
      <c r="P536">
        <v>1</v>
      </c>
    </row>
    <row r="537" spans="1:16" customFormat="1" ht="15">
      <c r="A537" s="84" t="str">
        <f>LEFT(M537,4)</f>
        <v>6204</v>
      </c>
      <c r="B537" s="84" t="str">
        <f t="shared" si="8"/>
        <v>ПЛАТЬЕ Без товарного знака жен. Артикул 545 цвет РАЗНОЦВЕТНЫЙ р. 54</v>
      </c>
      <c r="C537" s="69" t="s">
        <v>1690</v>
      </c>
      <c r="D537" s="69" t="s">
        <v>55</v>
      </c>
      <c r="E537" s="91" t="s">
        <v>1857</v>
      </c>
      <c r="F537" s="69" t="s">
        <v>1691</v>
      </c>
      <c r="G537" s="72" t="s">
        <v>229</v>
      </c>
      <c r="H537" s="69" t="s">
        <v>1692</v>
      </c>
      <c r="I537" s="69" t="s">
        <v>59</v>
      </c>
      <c r="J537" s="86">
        <v>54</v>
      </c>
      <c r="K537" s="86" t="s">
        <v>1693</v>
      </c>
      <c r="L537" s="86" t="s">
        <v>1693</v>
      </c>
      <c r="M537" s="73">
        <v>6204430000</v>
      </c>
      <c r="N537" s="7"/>
      <c r="O537" s="86" t="s">
        <v>94</v>
      </c>
      <c r="P537">
        <v>1</v>
      </c>
    </row>
    <row r="538" spans="1:16" customFormat="1" ht="15">
      <c r="A538" s="84" t="str">
        <f>LEFT(M538,4)</f>
        <v>6204</v>
      </c>
      <c r="B538" s="84" t="str">
        <f t="shared" si="8"/>
        <v>ПЛАТЬЕ Без товарного знака жен. Артикул 00070 цвет РАЗНОЦВЕТНЫЙ р. 52</v>
      </c>
      <c r="C538" s="69" t="s">
        <v>1690</v>
      </c>
      <c r="D538" s="69" t="s">
        <v>55</v>
      </c>
      <c r="E538" s="91" t="s">
        <v>1858</v>
      </c>
      <c r="F538" s="69" t="s">
        <v>1691</v>
      </c>
      <c r="G538" s="72" t="s">
        <v>229</v>
      </c>
      <c r="H538" s="69" t="s">
        <v>1692</v>
      </c>
      <c r="I538" s="69" t="s">
        <v>59</v>
      </c>
      <c r="J538" s="86">
        <v>52</v>
      </c>
      <c r="K538" s="86" t="s">
        <v>1859</v>
      </c>
      <c r="L538" s="86" t="s">
        <v>1859</v>
      </c>
      <c r="M538" s="73">
        <v>6204499000</v>
      </c>
      <c r="N538" s="7"/>
      <c r="O538" s="86" t="s">
        <v>582</v>
      </c>
      <c r="P538">
        <v>1</v>
      </c>
    </row>
    <row r="539" spans="1:16" customFormat="1" ht="15">
      <c r="A539" s="84" t="str">
        <f>LEFT(M539,4)</f>
        <v>6204</v>
      </c>
      <c r="B539" s="84" t="str">
        <f t="shared" si="8"/>
        <v>ПЛАТЬЕ Без товарного знака жен. Артикул 00070 цвет РАЗНОЦВЕТНЫЙ р. 54</v>
      </c>
      <c r="C539" s="69" t="s">
        <v>1690</v>
      </c>
      <c r="D539" s="69" t="s">
        <v>55</v>
      </c>
      <c r="E539" s="91" t="s">
        <v>1858</v>
      </c>
      <c r="F539" s="69" t="s">
        <v>1691</v>
      </c>
      <c r="G539" s="72" t="s">
        <v>229</v>
      </c>
      <c r="H539" s="69" t="s">
        <v>1692</v>
      </c>
      <c r="I539" s="69" t="s">
        <v>59</v>
      </c>
      <c r="J539" s="86">
        <v>54</v>
      </c>
      <c r="K539" s="86" t="s">
        <v>1859</v>
      </c>
      <c r="L539" s="86" t="s">
        <v>1859</v>
      </c>
      <c r="M539" s="73">
        <v>6204499000</v>
      </c>
      <c r="N539" s="7"/>
      <c r="O539" s="86" t="s">
        <v>582</v>
      </c>
      <c r="P539">
        <v>1</v>
      </c>
    </row>
    <row r="540" spans="1:16" customFormat="1" ht="15">
      <c r="A540" s="84" t="str">
        <f>LEFT(M540,4)</f>
        <v>6204</v>
      </c>
      <c r="B540" s="84" t="str">
        <f t="shared" si="8"/>
        <v>ПЛАТЬЕ Без товарного знака жен. Артикул 5341 цвет РАЗНОЦВЕТНЫЙ р. 54</v>
      </c>
      <c r="C540" s="69" t="s">
        <v>1690</v>
      </c>
      <c r="D540" s="69" t="s">
        <v>55</v>
      </c>
      <c r="E540" s="91" t="s">
        <v>1860</v>
      </c>
      <c r="F540" s="69" t="s">
        <v>1691</v>
      </c>
      <c r="G540" s="72" t="s">
        <v>229</v>
      </c>
      <c r="H540" s="69" t="s">
        <v>1692</v>
      </c>
      <c r="I540" s="69" t="s">
        <v>59</v>
      </c>
      <c r="J540" s="86">
        <v>54</v>
      </c>
      <c r="K540" s="86" t="s">
        <v>1861</v>
      </c>
      <c r="L540" s="86" t="s">
        <v>1861</v>
      </c>
      <c r="M540" s="73">
        <v>6204440000</v>
      </c>
      <c r="N540" s="7"/>
      <c r="O540" s="86" t="s">
        <v>94</v>
      </c>
      <c r="P540">
        <v>1</v>
      </c>
    </row>
    <row r="541" spans="1:16" customFormat="1" ht="15">
      <c r="A541" s="84" t="str">
        <f>LEFT(M541,4)</f>
        <v>6204</v>
      </c>
      <c r="B541" s="84" t="str">
        <f t="shared" si="8"/>
        <v>ПЛАТЬЕ Без товарного знака жен. Артикул 7490 цвет РАЗНОЦВЕТНЫЙ р. 56</v>
      </c>
      <c r="C541" s="69" t="s">
        <v>1690</v>
      </c>
      <c r="D541" s="69" t="s">
        <v>55</v>
      </c>
      <c r="E541" s="91" t="s">
        <v>1862</v>
      </c>
      <c r="F541" s="69" t="s">
        <v>1691</v>
      </c>
      <c r="G541" s="72" t="s">
        <v>229</v>
      </c>
      <c r="H541" s="69" t="s">
        <v>1692</v>
      </c>
      <c r="I541" s="69" t="s">
        <v>59</v>
      </c>
      <c r="J541" s="86">
        <v>56</v>
      </c>
      <c r="K541" s="86" t="s">
        <v>1693</v>
      </c>
      <c r="L541" s="86" t="s">
        <v>1693</v>
      </c>
      <c r="M541" s="73">
        <v>6204430000</v>
      </c>
      <c r="N541" s="7"/>
      <c r="O541" s="86" t="s">
        <v>94</v>
      </c>
      <c r="P541">
        <v>1</v>
      </c>
    </row>
    <row r="542" spans="1:16" customFormat="1" ht="15">
      <c r="A542" s="84" t="str">
        <f>LEFT(M542,4)</f>
        <v>6204</v>
      </c>
      <c r="B542" s="84" t="str">
        <f t="shared" si="8"/>
        <v>ПЛАТЬЕ Без товарного знака жен. Артикул 7490 цвет РАЗНОЦВЕТНЫЙ р. 58</v>
      </c>
      <c r="C542" s="69" t="s">
        <v>1690</v>
      </c>
      <c r="D542" s="69" t="s">
        <v>55</v>
      </c>
      <c r="E542" s="91" t="s">
        <v>1862</v>
      </c>
      <c r="F542" s="69" t="s">
        <v>1691</v>
      </c>
      <c r="G542" s="72" t="s">
        <v>229</v>
      </c>
      <c r="H542" s="69" t="s">
        <v>1692</v>
      </c>
      <c r="I542" s="69" t="s">
        <v>59</v>
      </c>
      <c r="J542" s="86">
        <v>58</v>
      </c>
      <c r="K542" s="86" t="s">
        <v>1693</v>
      </c>
      <c r="L542" s="86" t="s">
        <v>1693</v>
      </c>
      <c r="M542" s="73">
        <v>6204430000</v>
      </c>
      <c r="N542" s="7"/>
      <c r="O542" s="86" t="s">
        <v>94</v>
      </c>
      <c r="P542">
        <v>1</v>
      </c>
    </row>
    <row r="543" spans="1:16" customFormat="1" ht="15">
      <c r="A543" s="84" t="str">
        <f>LEFT(M543,4)</f>
        <v>6204</v>
      </c>
      <c r="B543" s="84" t="str">
        <f t="shared" si="8"/>
        <v>ПЛАТЬЕ Без товарного знака жен. Артикул 8339 цвет РАЗНОЦВЕТНЫЙ р. 50</v>
      </c>
      <c r="C543" s="69" t="s">
        <v>1690</v>
      </c>
      <c r="D543" s="69" t="s">
        <v>55</v>
      </c>
      <c r="E543" s="91" t="s">
        <v>1863</v>
      </c>
      <c r="F543" s="69" t="s">
        <v>1691</v>
      </c>
      <c r="G543" s="72" t="s">
        <v>229</v>
      </c>
      <c r="H543" s="69" t="s">
        <v>1692</v>
      </c>
      <c r="I543" s="69" t="s">
        <v>59</v>
      </c>
      <c r="J543" s="86">
        <v>50</v>
      </c>
      <c r="K543" s="86" t="s">
        <v>1744</v>
      </c>
      <c r="L543" s="86" t="s">
        <v>1744</v>
      </c>
      <c r="M543" s="73">
        <v>6204430000</v>
      </c>
      <c r="N543" s="7"/>
      <c r="O543" s="86" t="s">
        <v>94</v>
      </c>
      <c r="P543">
        <v>1</v>
      </c>
    </row>
    <row r="544" spans="1:16" customFormat="1" ht="15">
      <c r="A544" s="84" t="str">
        <f>LEFT(M544,4)</f>
        <v>6204</v>
      </c>
      <c r="B544" s="84" t="str">
        <f t="shared" si="8"/>
        <v>ПЛАТЬЕ Без товарного знака жен. Артикул 8339 цвет РАЗНОЦВЕТНЫЙ р. 52</v>
      </c>
      <c r="C544" s="69" t="s">
        <v>1690</v>
      </c>
      <c r="D544" s="69" t="s">
        <v>55</v>
      </c>
      <c r="E544" s="91" t="s">
        <v>1863</v>
      </c>
      <c r="F544" s="69" t="s">
        <v>1691</v>
      </c>
      <c r="G544" s="72" t="s">
        <v>229</v>
      </c>
      <c r="H544" s="69" t="s">
        <v>1692</v>
      </c>
      <c r="I544" s="69" t="s">
        <v>59</v>
      </c>
      <c r="J544" s="86">
        <v>52</v>
      </c>
      <c r="K544" s="86" t="s">
        <v>1744</v>
      </c>
      <c r="L544" s="86" t="s">
        <v>1744</v>
      </c>
      <c r="M544" s="73">
        <v>6204430000</v>
      </c>
      <c r="N544" s="7"/>
      <c r="O544" s="86" t="s">
        <v>94</v>
      </c>
      <c r="P544">
        <v>1</v>
      </c>
    </row>
    <row r="545" spans="1:16" customFormat="1" ht="15">
      <c r="A545" s="84" t="str">
        <f>LEFT(M545,4)</f>
        <v>6204</v>
      </c>
      <c r="B545" s="84" t="str">
        <f t="shared" si="8"/>
        <v>ПЛАТЬЕ Без товарного знака жен. Артикул 8339 цвет РАЗНОЦВЕТНЫЙ р. 54</v>
      </c>
      <c r="C545" s="69" t="s">
        <v>1690</v>
      </c>
      <c r="D545" s="69" t="s">
        <v>55</v>
      </c>
      <c r="E545" s="91" t="s">
        <v>1863</v>
      </c>
      <c r="F545" s="69" t="s">
        <v>1691</v>
      </c>
      <c r="G545" s="72" t="s">
        <v>229</v>
      </c>
      <c r="H545" s="69" t="s">
        <v>1692</v>
      </c>
      <c r="I545" s="69" t="s">
        <v>59</v>
      </c>
      <c r="J545" s="86">
        <v>54</v>
      </c>
      <c r="K545" s="86" t="s">
        <v>1744</v>
      </c>
      <c r="L545" s="86" t="s">
        <v>1744</v>
      </c>
      <c r="M545" s="73">
        <v>6204430000</v>
      </c>
      <c r="N545" s="7"/>
      <c r="O545" s="86" t="s">
        <v>94</v>
      </c>
      <c r="P545">
        <v>1</v>
      </c>
    </row>
    <row r="546" spans="1:16" customFormat="1" ht="15">
      <c r="A546" s="84" t="str">
        <f>LEFT(M546,4)</f>
        <v>6204</v>
      </c>
      <c r="B546" s="84" t="str">
        <f t="shared" si="8"/>
        <v>ПЛАТЬЕ Без товарного знака жен. Артикул 8339 цвет ЗЕЛЕНЫЙ р. 50</v>
      </c>
      <c r="C546" s="69" t="s">
        <v>1690</v>
      </c>
      <c r="D546" s="69" t="s">
        <v>55</v>
      </c>
      <c r="E546" s="91" t="s">
        <v>1863</v>
      </c>
      <c r="F546" s="69" t="s">
        <v>1691</v>
      </c>
      <c r="G546" s="72" t="s">
        <v>345</v>
      </c>
      <c r="H546" s="69" t="s">
        <v>1692</v>
      </c>
      <c r="I546" s="69" t="s">
        <v>59</v>
      </c>
      <c r="J546" s="86">
        <v>50</v>
      </c>
      <c r="K546" s="86" t="s">
        <v>1744</v>
      </c>
      <c r="L546" s="86" t="s">
        <v>1744</v>
      </c>
      <c r="M546" s="73">
        <v>6204430000</v>
      </c>
      <c r="N546" s="7"/>
      <c r="O546" s="86" t="s">
        <v>94</v>
      </c>
      <c r="P546">
        <v>1</v>
      </c>
    </row>
    <row r="547" spans="1:16" customFormat="1" ht="15">
      <c r="A547" s="84" t="str">
        <f>LEFT(M547,4)</f>
        <v>6204</v>
      </c>
      <c r="B547" s="84" t="str">
        <f t="shared" si="8"/>
        <v>ПЛАТЬЕ Без товарного знака жен. Артикул 8339 цвет ЗЕЛЕНЫЙ р. 52</v>
      </c>
      <c r="C547" s="69" t="s">
        <v>1690</v>
      </c>
      <c r="D547" s="69" t="s">
        <v>55</v>
      </c>
      <c r="E547" s="91" t="s">
        <v>1863</v>
      </c>
      <c r="F547" s="69" t="s">
        <v>1691</v>
      </c>
      <c r="G547" s="72" t="s">
        <v>345</v>
      </c>
      <c r="H547" s="69" t="s">
        <v>1692</v>
      </c>
      <c r="I547" s="69" t="s">
        <v>59</v>
      </c>
      <c r="J547" s="86">
        <v>52</v>
      </c>
      <c r="K547" s="86" t="s">
        <v>1744</v>
      </c>
      <c r="L547" s="86" t="s">
        <v>1744</v>
      </c>
      <c r="M547" s="73">
        <v>6204430000</v>
      </c>
      <c r="N547" s="7"/>
      <c r="O547" s="86" t="s">
        <v>94</v>
      </c>
      <c r="P547">
        <v>1</v>
      </c>
    </row>
    <row r="548" spans="1:16" customFormat="1" ht="15">
      <c r="A548" s="84" t="str">
        <f>LEFT(M548,4)</f>
        <v>6204</v>
      </c>
      <c r="B548" s="84" t="str">
        <f t="shared" si="8"/>
        <v>ПЛАТЬЕ Без товарного знака жен. Артикул 7311 цвет РАЗНОЦВЕТНЫЙ р. 52</v>
      </c>
      <c r="C548" s="69" t="s">
        <v>1690</v>
      </c>
      <c r="D548" s="69" t="s">
        <v>55</v>
      </c>
      <c r="E548" s="91" t="s">
        <v>1864</v>
      </c>
      <c r="F548" s="69" t="s">
        <v>1691</v>
      </c>
      <c r="G548" s="72" t="s">
        <v>229</v>
      </c>
      <c r="H548" s="69" t="s">
        <v>1692</v>
      </c>
      <c r="I548" s="69" t="s">
        <v>59</v>
      </c>
      <c r="J548" s="86">
        <v>52</v>
      </c>
      <c r="K548" s="86" t="s">
        <v>1865</v>
      </c>
      <c r="L548" s="86" t="s">
        <v>1865</v>
      </c>
      <c r="M548" s="73">
        <v>6204499000</v>
      </c>
      <c r="N548" s="7"/>
      <c r="O548" s="86" t="s">
        <v>582</v>
      </c>
      <c r="P548">
        <v>1</v>
      </c>
    </row>
    <row r="549" spans="1:16" customFormat="1" ht="15">
      <c r="A549" s="84" t="str">
        <f>LEFT(M549,4)</f>
        <v>6204</v>
      </c>
      <c r="B549" s="84" t="str">
        <f t="shared" si="8"/>
        <v>ПЛАТЬЕ Без товарного знака жен. Артикул 7311 цвет РАЗНОЦВЕТНЫЙ р. 54</v>
      </c>
      <c r="C549" s="69" t="s">
        <v>1690</v>
      </c>
      <c r="D549" s="69" t="s">
        <v>55</v>
      </c>
      <c r="E549" s="91" t="s">
        <v>1864</v>
      </c>
      <c r="F549" s="69" t="s">
        <v>1691</v>
      </c>
      <c r="G549" s="72" t="s">
        <v>229</v>
      </c>
      <c r="H549" s="69" t="s">
        <v>1692</v>
      </c>
      <c r="I549" s="69" t="s">
        <v>59</v>
      </c>
      <c r="J549" s="86">
        <v>54</v>
      </c>
      <c r="K549" s="86" t="s">
        <v>1865</v>
      </c>
      <c r="L549" s="86" t="s">
        <v>1865</v>
      </c>
      <c r="M549" s="73">
        <v>6204499000</v>
      </c>
      <c r="N549" s="7"/>
      <c r="O549" s="86" t="s">
        <v>582</v>
      </c>
      <c r="P549">
        <v>1</v>
      </c>
    </row>
    <row r="550" spans="1:16" customFormat="1" ht="15">
      <c r="A550" s="84" t="str">
        <f>LEFT(M550,4)</f>
        <v>6204</v>
      </c>
      <c r="B550" s="84" t="str">
        <f t="shared" si="8"/>
        <v>ПЛАТЬЕ Без товарного знака жен. Артикул 7311 цвет РАЗНОЦВЕТНЫЙ р. 56</v>
      </c>
      <c r="C550" s="69" t="s">
        <v>1690</v>
      </c>
      <c r="D550" s="69" t="s">
        <v>55</v>
      </c>
      <c r="E550" s="91" t="s">
        <v>1864</v>
      </c>
      <c r="F550" s="69" t="s">
        <v>1691</v>
      </c>
      <c r="G550" s="72" t="s">
        <v>229</v>
      </c>
      <c r="H550" s="69" t="s">
        <v>1692</v>
      </c>
      <c r="I550" s="69" t="s">
        <v>59</v>
      </c>
      <c r="J550" s="86">
        <v>56</v>
      </c>
      <c r="K550" s="86" t="s">
        <v>1865</v>
      </c>
      <c r="L550" s="86" t="s">
        <v>1865</v>
      </c>
      <c r="M550" s="73">
        <v>6204499000</v>
      </c>
      <c r="N550" s="7"/>
      <c r="O550" s="86" t="s">
        <v>582</v>
      </c>
      <c r="P550">
        <v>1</v>
      </c>
    </row>
    <row r="551" spans="1:16" customFormat="1" ht="15">
      <c r="A551" s="84" t="str">
        <f>LEFT(M551,4)</f>
        <v>6204</v>
      </c>
      <c r="B551" s="84" t="str">
        <f t="shared" si="8"/>
        <v>ПЛАТЬЕ Без товарного знака жен. Артикул 7311 цвет РАЗНОЦВЕТНЫЙ р. 58</v>
      </c>
      <c r="C551" s="69" t="s">
        <v>1690</v>
      </c>
      <c r="D551" s="69" t="s">
        <v>55</v>
      </c>
      <c r="E551" s="91" t="s">
        <v>1864</v>
      </c>
      <c r="F551" s="69" t="s">
        <v>1691</v>
      </c>
      <c r="G551" s="72" t="s">
        <v>229</v>
      </c>
      <c r="H551" s="69" t="s">
        <v>1692</v>
      </c>
      <c r="I551" s="69" t="s">
        <v>59</v>
      </c>
      <c r="J551" s="86">
        <v>58</v>
      </c>
      <c r="K551" s="86" t="s">
        <v>1865</v>
      </c>
      <c r="L551" s="86" t="s">
        <v>1865</v>
      </c>
      <c r="M551" s="73">
        <v>6204499000</v>
      </c>
      <c r="N551" s="7"/>
      <c r="O551" s="86" t="s">
        <v>582</v>
      </c>
      <c r="P551">
        <v>1</v>
      </c>
    </row>
    <row r="552" spans="1:16" customFormat="1" ht="15">
      <c r="A552" s="84" t="str">
        <f>LEFT(M552,4)</f>
        <v>6204</v>
      </c>
      <c r="B552" s="84" t="str">
        <f t="shared" si="8"/>
        <v>ПЛАТЬЕ Без товарного знака жен. Артикул 7406 цвет СИНИЙ р. 52</v>
      </c>
      <c r="C552" s="69" t="s">
        <v>1690</v>
      </c>
      <c r="D552" s="69" t="s">
        <v>55</v>
      </c>
      <c r="E552" s="91" t="s">
        <v>1866</v>
      </c>
      <c r="F552" s="69" t="s">
        <v>1691</v>
      </c>
      <c r="G552" s="72" t="s">
        <v>279</v>
      </c>
      <c r="H552" s="69" t="s">
        <v>1692</v>
      </c>
      <c r="I552" s="69" t="s">
        <v>59</v>
      </c>
      <c r="J552" s="86">
        <v>52</v>
      </c>
      <c r="K552" s="86" t="s">
        <v>1759</v>
      </c>
      <c r="L552" s="86" t="s">
        <v>1759</v>
      </c>
      <c r="M552" s="73">
        <v>6204430000</v>
      </c>
      <c r="N552" s="7"/>
      <c r="O552" s="86" t="s">
        <v>582</v>
      </c>
      <c r="P552">
        <v>1</v>
      </c>
    </row>
    <row r="553" spans="1:16" customFormat="1" ht="15">
      <c r="A553" s="84" t="str">
        <f>LEFT(M553,4)</f>
        <v>6204</v>
      </c>
      <c r="B553" s="84" t="str">
        <f t="shared" si="8"/>
        <v>ПЛАТЬЕ Без товарного знака жен. Артикул 417783 цвет РАЗНОЦВЕТНЫЙ р. 52</v>
      </c>
      <c r="C553" s="69" t="s">
        <v>1690</v>
      </c>
      <c r="D553" s="69" t="s">
        <v>55</v>
      </c>
      <c r="E553" s="91" t="s">
        <v>1867</v>
      </c>
      <c r="F553" s="69" t="s">
        <v>1691</v>
      </c>
      <c r="G553" s="72" t="s">
        <v>229</v>
      </c>
      <c r="H553" s="69" t="s">
        <v>1692</v>
      </c>
      <c r="I553" s="69" t="s">
        <v>59</v>
      </c>
      <c r="J553" s="86">
        <v>52</v>
      </c>
      <c r="K553" s="86" t="s">
        <v>1868</v>
      </c>
      <c r="L553" s="86" t="s">
        <v>1868</v>
      </c>
      <c r="M553" s="73">
        <v>6204430000</v>
      </c>
      <c r="N553" s="7"/>
      <c r="O553" s="86" t="s">
        <v>94</v>
      </c>
      <c r="P553">
        <v>1</v>
      </c>
    </row>
    <row r="554" spans="1:16" customFormat="1" ht="15">
      <c r="A554" s="84" t="str">
        <f>LEFT(M554,4)</f>
        <v>6204</v>
      </c>
      <c r="B554" s="84" t="str">
        <f t="shared" si="8"/>
        <v>ПЛАТЬЕ Без товарного знака жен. Артикул 7207 цвет РАЗНОЦВЕТНЫЙ р. 52</v>
      </c>
      <c r="C554" s="69" t="s">
        <v>1690</v>
      </c>
      <c r="D554" s="69" t="s">
        <v>55</v>
      </c>
      <c r="E554" s="91" t="s">
        <v>1869</v>
      </c>
      <c r="F554" s="69" t="s">
        <v>1691</v>
      </c>
      <c r="G554" s="72" t="s">
        <v>229</v>
      </c>
      <c r="H554" s="69" t="s">
        <v>1692</v>
      </c>
      <c r="I554" s="69" t="s">
        <v>59</v>
      </c>
      <c r="J554" s="86">
        <v>52</v>
      </c>
      <c r="K554" s="86" t="s">
        <v>1870</v>
      </c>
      <c r="L554" s="86" t="s">
        <v>1870</v>
      </c>
      <c r="M554" s="73">
        <v>6204499000</v>
      </c>
      <c r="N554" s="7"/>
      <c r="O554" s="86" t="s">
        <v>94</v>
      </c>
      <c r="P554">
        <v>1</v>
      </c>
    </row>
    <row r="555" spans="1:16" customFormat="1" ht="15.75">
      <c r="A555" s="84" t="str">
        <f>LEFT(M555,4)</f>
        <v>6204</v>
      </c>
      <c r="B555" s="84" t="str">
        <f t="shared" si="8"/>
        <v>ПЛАТЬЕ Без товарного знака жен. Артикул 3041 цвет ПУДРА р. 52</v>
      </c>
      <c r="C555" s="69" t="s">
        <v>1690</v>
      </c>
      <c r="D555" s="69" t="s">
        <v>55</v>
      </c>
      <c r="E555" s="91" t="s">
        <v>1871</v>
      </c>
      <c r="F555" s="69" t="s">
        <v>1691</v>
      </c>
      <c r="G555" s="75" t="s">
        <v>1774</v>
      </c>
      <c r="H555" s="69" t="s">
        <v>1692</v>
      </c>
      <c r="I555" s="69" t="s">
        <v>59</v>
      </c>
      <c r="J555" s="86">
        <v>52</v>
      </c>
      <c r="K555" s="94" t="s">
        <v>1872</v>
      </c>
      <c r="L555" s="94" t="s">
        <v>1872</v>
      </c>
      <c r="M555" s="73">
        <v>6204440000</v>
      </c>
      <c r="N555" s="7"/>
      <c r="O555" s="86" t="s">
        <v>94</v>
      </c>
      <c r="P555">
        <v>1</v>
      </c>
    </row>
    <row r="556" spans="1:16" customFormat="1" ht="15">
      <c r="A556" s="84" t="str">
        <f>LEFT(M556,4)</f>
        <v>6204</v>
      </c>
      <c r="B556" s="84" t="str">
        <f t="shared" si="8"/>
        <v>ПЛАТЬЕ Без товарного знака жен. Артикул 8257 цвет СТАЛЬ р. 52</v>
      </c>
      <c r="C556" s="69" t="s">
        <v>1690</v>
      </c>
      <c r="D556" s="69" t="s">
        <v>55</v>
      </c>
      <c r="E556" s="91" t="s">
        <v>1873</v>
      </c>
      <c r="F556" s="69" t="s">
        <v>1691</v>
      </c>
      <c r="G556" s="75" t="s">
        <v>1777</v>
      </c>
      <c r="H556" s="69" t="s">
        <v>1692</v>
      </c>
      <c r="I556" s="69" t="s">
        <v>59</v>
      </c>
      <c r="J556" s="86">
        <v>52</v>
      </c>
      <c r="K556" s="86" t="s">
        <v>1693</v>
      </c>
      <c r="L556" s="86" t="s">
        <v>1693</v>
      </c>
      <c r="M556" s="73">
        <v>6204430000</v>
      </c>
      <c r="N556" s="7"/>
      <c r="O556" s="86" t="s">
        <v>94</v>
      </c>
      <c r="P556">
        <v>1</v>
      </c>
    </row>
    <row r="557" spans="1:16" customFormat="1" ht="15">
      <c r="A557" s="84" t="str">
        <f>LEFT(M557,4)</f>
        <v>6204</v>
      </c>
      <c r="B557" s="84" t="str">
        <f t="shared" si="8"/>
        <v>ПЛАТЬЕ Без товарного знака жен. Артикул 8257 цвет СТАЛЬ р. 54</v>
      </c>
      <c r="C557" s="69" t="s">
        <v>1690</v>
      </c>
      <c r="D557" s="69" t="s">
        <v>55</v>
      </c>
      <c r="E557" s="91" t="s">
        <v>1873</v>
      </c>
      <c r="F557" s="69" t="s">
        <v>1691</v>
      </c>
      <c r="G557" s="75" t="s">
        <v>1777</v>
      </c>
      <c r="H557" s="69" t="s">
        <v>1692</v>
      </c>
      <c r="I557" s="69" t="s">
        <v>59</v>
      </c>
      <c r="J557" s="86">
        <v>54</v>
      </c>
      <c r="K557" s="86" t="s">
        <v>1693</v>
      </c>
      <c r="L557" s="86" t="s">
        <v>1693</v>
      </c>
      <c r="M557" s="73">
        <v>6204430000</v>
      </c>
      <c r="N557" s="7"/>
      <c r="O557" s="86" t="s">
        <v>94</v>
      </c>
      <c r="P557">
        <v>1</v>
      </c>
    </row>
    <row r="558" spans="1:16" customFormat="1" ht="15">
      <c r="A558" s="84" t="str">
        <f>LEFT(M558,4)</f>
        <v>6204</v>
      </c>
      <c r="B558" s="84" t="str">
        <f t="shared" si="8"/>
        <v>ПЛАТЬЕ Без товарного знака жен. Артикул 0119341 цвет РОЗОВЫЙ р. 52</v>
      </c>
      <c r="C558" s="69" t="s">
        <v>1690</v>
      </c>
      <c r="D558" s="69" t="s">
        <v>55</v>
      </c>
      <c r="E558" s="91" t="s">
        <v>1874</v>
      </c>
      <c r="F558" s="69" t="s">
        <v>1691</v>
      </c>
      <c r="G558" s="72" t="s">
        <v>235</v>
      </c>
      <c r="H558" s="69" t="s">
        <v>1692</v>
      </c>
      <c r="I558" s="69" t="s">
        <v>59</v>
      </c>
      <c r="J558" s="86">
        <v>52</v>
      </c>
      <c r="K558" s="86" t="s">
        <v>1776</v>
      </c>
      <c r="L558" s="86" t="s">
        <v>1776</v>
      </c>
      <c r="M558" s="73">
        <v>6204430000</v>
      </c>
      <c r="N558" s="7"/>
      <c r="O558" s="86" t="s">
        <v>59</v>
      </c>
      <c r="P558">
        <v>1</v>
      </c>
    </row>
    <row r="559" spans="1:16" customFormat="1" ht="15">
      <c r="A559" s="84" t="str">
        <f>LEFT(M559,4)</f>
        <v>6204</v>
      </c>
      <c r="B559" s="84" t="str">
        <f t="shared" si="8"/>
        <v>ПЛАТЬЕ Без товарного знака жен. Артикул 7355 цвет ЧЕРНЫЙ р. 52</v>
      </c>
      <c r="C559" s="69" t="s">
        <v>1690</v>
      </c>
      <c r="D559" s="69" t="s">
        <v>55</v>
      </c>
      <c r="E559" s="91" t="s">
        <v>1875</v>
      </c>
      <c r="F559" s="69" t="s">
        <v>1691</v>
      </c>
      <c r="G559" s="72" t="s">
        <v>330</v>
      </c>
      <c r="H559" s="69" t="s">
        <v>1692</v>
      </c>
      <c r="I559" s="69" t="s">
        <v>59</v>
      </c>
      <c r="J559" s="86">
        <v>52</v>
      </c>
      <c r="K559" s="86" t="s">
        <v>1693</v>
      </c>
      <c r="L559" s="86" t="s">
        <v>1693</v>
      </c>
      <c r="M559" s="73">
        <v>6204430000</v>
      </c>
      <c r="N559" s="7"/>
      <c r="O559" s="86" t="s">
        <v>94</v>
      </c>
      <c r="P559">
        <v>1</v>
      </c>
    </row>
    <row r="560" spans="1:16" customFormat="1" ht="15">
      <c r="A560" s="84" t="str">
        <f>LEFT(M560,4)</f>
        <v>6204</v>
      </c>
      <c r="B560" s="84" t="str">
        <f t="shared" si="8"/>
        <v>ПЛАТЬЕ Без товарного знака жен. Артикул 7355 цвет ЧЕРНЫЙ р. 54</v>
      </c>
      <c r="C560" s="69" t="s">
        <v>1690</v>
      </c>
      <c r="D560" s="69" t="s">
        <v>55</v>
      </c>
      <c r="E560" s="91" t="s">
        <v>1875</v>
      </c>
      <c r="F560" s="69" t="s">
        <v>1691</v>
      </c>
      <c r="G560" s="72" t="s">
        <v>330</v>
      </c>
      <c r="H560" s="69" t="s">
        <v>1692</v>
      </c>
      <c r="I560" s="69" t="s">
        <v>59</v>
      </c>
      <c r="J560" s="86">
        <v>54</v>
      </c>
      <c r="K560" s="86" t="s">
        <v>1693</v>
      </c>
      <c r="L560" s="86" t="s">
        <v>1693</v>
      </c>
      <c r="M560" s="73">
        <v>6204430000</v>
      </c>
      <c r="N560" s="7"/>
      <c r="O560" s="86" t="s">
        <v>94</v>
      </c>
      <c r="P560">
        <v>1</v>
      </c>
    </row>
    <row r="561" spans="1:16" customFormat="1" ht="15">
      <c r="A561" s="84" t="str">
        <f>LEFT(M561,4)</f>
        <v>6204</v>
      </c>
      <c r="B561" s="84" t="str">
        <f t="shared" si="8"/>
        <v>ПЛАТЬЕ Без товарного знака жен. Артикул 1302 цвет ЧЕРНЫЙ р. 52</v>
      </c>
      <c r="C561" s="69" t="s">
        <v>1690</v>
      </c>
      <c r="D561" s="69" t="s">
        <v>55</v>
      </c>
      <c r="E561" s="91" t="s">
        <v>1876</v>
      </c>
      <c r="F561" s="69" t="s">
        <v>1691</v>
      </c>
      <c r="G561" s="72" t="s">
        <v>330</v>
      </c>
      <c r="H561" s="69" t="s">
        <v>1692</v>
      </c>
      <c r="I561" s="69" t="s">
        <v>59</v>
      </c>
      <c r="J561" s="86">
        <v>52</v>
      </c>
      <c r="K561" s="86" t="s">
        <v>1704</v>
      </c>
      <c r="L561" s="86" t="s">
        <v>1704</v>
      </c>
      <c r="M561" s="73">
        <v>6204430000</v>
      </c>
      <c r="N561" s="7"/>
      <c r="O561" s="86" t="s">
        <v>94</v>
      </c>
      <c r="P561">
        <v>1</v>
      </c>
    </row>
    <row r="562" spans="1:16" customFormat="1" ht="15">
      <c r="A562" s="84" t="str">
        <f>LEFT(M562,4)</f>
        <v>6204</v>
      </c>
      <c r="B562" s="84" t="str">
        <f t="shared" si="8"/>
        <v>ПЛАТЬЕ Без товарного знака жен. Артикул 7258 цвет ЧЕРНЫЙ р. 52</v>
      </c>
      <c r="C562" s="69" t="s">
        <v>1690</v>
      </c>
      <c r="D562" s="69" t="s">
        <v>55</v>
      </c>
      <c r="E562" s="91" t="s">
        <v>1877</v>
      </c>
      <c r="F562" s="69" t="s">
        <v>1691</v>
      </c>
      <c r="G562" s="72" t="s">
        <v>330</v>
      </c>
      <c r="H562" s="69" t="s">
        <v>1692</v>
      </c>
      <c r="I562" s="69" t="s">
        <v>59</v>
      </c>
      <c r="J562" s="86">
        <v>52</v>
      </c>
      <c r="K562" s="86" t="s">
        <v>1693</v>
      </c>
      <c r="L562" s="86" t="s">
        <v>1693</v>
      </c>
      <c r="M562" s="73">
        <v>6204430000</v>
      </c>
      <c r="N562" s="7"/>
      <c r="O562" s="86" t="s">
        <v>94</v>
      </c>
      <c r="P562">
        <v>1</v>
      </c>
    </row>
    <row r="563" spans="1:16" customFormat="1" ht="15">
      <c r="A563" s="84" t="str">
        <f>LEFT(M563,4)</f>
        <v>6204</v>
      </c>
      <c r="B563" s="84" t="str">
        <f t="shared" si="8"/>
        <v>ПЛАТЬЕ Без товарного знака жен. Артикул 0123442 цвет БОРДОВЫЙ р. 52</v>
      </c>
      <c r="C563" s="69" t="s">
        <v>1690</v>
      </c>
      <c r="D563" s="69" t="s">
        <v>55</v>
      </c>
      <c r="E563" s="91" t="s">
        <v>1878</v>
      </c>
      <c r="F563" s="69" t="s">
        <v>1691</v>
      </c>
      <c r="G563" s="72" t="s">
        <v>117</v>
      </c>
      <c r="H563" s="69" t="s">
        <v>1692</v>
      </c>
      <c r="I563" s="69" t="s">
        <v>59</v>
      </c>
      <c r="J563" s="86">
        <v>52</v>
      </c>
      <c r="K563" s="86" t="s">
        <v>1870</v>
      </c>
      <c r="L563" s="86" t="s">
        <v>1870</v>
      </c>
      <c r="M563" s="73">
        <v>6204499000</v>
      </c>
      <c r="N563" s="7"/>
      <c r="O563" s="86" t="s">
        <v>59</v>
      </c>
      <c r="P563">
        <v>1</v>
      </c>
    </row>
    <row r="564" spans="1:16" customFormat="1" ht="15">
      <c r="A564" s="84" t="str">
        <f>LEFT(M564,4)</f>
        <v>6204</v>
      </c>
      <c r="B564" s="84" t="str">
        <f t="shared" si="8"/>
        <v>ПЛАТЬЕ Без товарного знака жен. Артикул 8202 цвет ЗЕЛЕНЫЙ р. 52</v>
      </c>
      <c r="C564" s="69" t="s">
        <v>1690</v>
      </c>
      <c r="D564" s="69" t="s">
        <v>55</v>
      </c>
      <c r="E564" s="91" t="s">
        <v>1879</v>
      </c>
      <c r="F564" s="69" t="s">
        <v>1691</v>
      </c>
      <c r="G564" s="72" t="s">
        <v>345</v>
      </c>
      <c r="H564" s="69" t="s">
        <v>1692</v>
      </c>
      <c r="I564" s="69" t="s">
        <v>59</v>
      </c>
      <c r="J564" s="86">
        <v>52</v>
      </c>
      <c r="K564" s="86" t="s">
        <v>1693</v>
      </c>
      <c r="L564" s="86" t="s">
        <v>1693</v>
      </c>
      <c r="M564" s="73">
        <v>6204430000</v>
      </c>
      <c r="N564" s="7"/>
      <c r="O564" s="86" t="s">
        <v>94</v>
      </c>
      <c r="P564">
        <v>1</v>
      </c>
    </row>
    <row r="565" spans="1:16" customFormat="1" ht="15">
      <c r="A565" s="84" t="str">
        <f>LEFT(M565,4)</f>
        <v>6204</v>
      </c>
      <c r="B565" s="84" t="str">
        <f t="shared" si="8"/>
        <v>ПЛАТЬЕ Без товарного знака жен. Артикул 8202 цвет РАЗНОЦВЕТНЫЙ р. 54</v>
      </c>
      <c r="C565" s="69" t="s">
        <v>1690</v>
      </c>
      <c r="D565" s="69" t="s">
        <v>55</v>
      </c>
      <c r="E565" s="91" t="s">
        <v>1879</v>
      </c>
      <c r="F565" s="69" t="s">
        <v>1691</v>
      </c>
      <c r="G565" s="72" t="s">
        <v>229</v>
      </c>
      <c r="H565" s="69" t="s">
        <v>1692</v>
      </c>
      <c r="I565" s="69" t="s">
        <v>59</v>
      </c>
      <c r="J565" s="86">
        <v>54</v>
      </c>
      <c r="K565" s="86" t="s">
        <v>1693</v>
      </c>
      <c r="L565" s="86" t="s">
        <v>1693</v>
      </c>
      <c r="M565" s="73">
        <v>6204430000</v>
      </c>
      <c r="N565" s="7"/>
      <c r="O565" s="86" t="s">
        <v>94</v>
      </c>
      <c r="P565">
        <v>1</v>
      </c>
    </row>
    <row r="566" spans="1:16" customFormat="1" ht="15">
      <c r="A566" s="84" t="str">
        <f>LEFT(M566,4)</f>
        <v>6204</v>
      </c>
      <c r="B566" s="84" t="str">
        <f t="shared" si="8"/>
        <v>ПЛАТЬЕ Без товарного знака жен. Артикул 7196 цвет РАЗНОЦВЕТНЫЙ р. 52</v>
      </c>
      <c r="C566" s="69" t="s">
        <v>1690</v>
      </c>
      <c r="D566" s="69" t="s">
        <v>55</v>
      </c>
      <c r="E566" s="91" t="s">
        <v>1880</v>
      </c>
      <c r="F566" s="69" t="s">
        <v>1691</v>
      </c>
      <c r="G566" s="72" t="s">
        <v>229</v>
      </c>
      <c r="H566" s="69" t="s">
        <v>1692</v>
      </c>
      <c r="I566" s="69" t="s">
        <v>59</v>
      </c>
      <c r="J566" s="86">
        <v>52</v>
      </c>
      <c r="K566" s="86" t="s">
        <v>1693</v>
      </c>
      <c r="L566" s="86" t="s">
        <v>1693</v>
      </c>
      <c r="M566" s="73">
        <v>6204430000</v>
      </c>
      <c r="N566" s="7"/>
      <c r="O566" s="86" t="s">
        <v>582</v>
      </c>
      <c r="P566">
        <v>1</v>
      </c>
    </row>
    <row r="567" spans="1:16" customFormat="1" ht="15">
      <c r="A567" s="84" t="str">
        <f>LEFT(M567,4)</f>
        <v>6204</v>
      </c>
      <c r="B567" s="84" t="str">
        <f t="shared" si="8"/>
        <v>ПЛАТЬЕ Без товарного знака жен. Артикул 7196 цвет РАЗНОЦВЕТНЫЙ р. 54</v>
      </c>
      <c r="C567" s="69" t="s">
        <v>1690</v>
      </c>
      <c r="D567" s="69" t="s">
        <v>55</v>
      </c>
      <c r="E567" s="91" t="s">
        <v>1880</v>
      </c>
      <c r="F567" s="69" t="s">
        <v>1691</v>
      </c>
      <c r="G567" s="72" t="s">
        <v>229</v>
      </c>
      <c r="H567" s="69" t="s">
        <v>1692</v>
      </c>
      <c r="I567" s="69" t="s">
        <v>59</v>
      </c>
      <c r="J567" s="86">
        <v>54</v>
      </c>
      <c r="K567" s="86" t="s">
        <v>1693</v>
      </c>
      <c r="L567" s="86" t="s">
        <v>1693</v>
      </c>
      <c r="M567" s="73">
        <v>6204430000</v>
      </c>
      <c r="N567" s="7"/>
      <c r="O567" s="86" t="s">
        <v>582</v>
      </c>
      <c r="P567">
        <v>1</v>
      </c>
    </row>
    <row r="568" spans="1:16" customFormat="1" ht="15">
      <c r="A568" s="84" t="str">
        <f>LEFT(M568,4)</f>
        <v>6204</v>
      </c>
      <c r="B568" s="84" t="str">
        <f t="shared" si="8"/>
        <v>ПЛАТЬЕ Без товарного знака жен. Артикул 7196 цвет РАЗНОЦВЕТНЫЙ р. 56</v>
      </c>
      <c r="C568" s="69" t="s">
        <v>1690</v>
      </c>
      <c r="D568" s="69" t="s">
        <v>55</v>
      </c>
      <c r="E568" s="91" t="s">
        <v>1880</v>
      </c>
      <c r="F568" s="69" t="s">
        <v>1691</v>
      </c>
      <c r="G568" s="72" t="s">
        <v>229</v>
      </c>
      <c r="H568" s="69" t="s">
        <v>1692</v>
      </c>
      <c r="I568" s="69" t="s">
        <v>59</v>
      </c>
      <c r="J568" s="86">
        <v>56</v>
      </c>
      <c r="K568" s="86" t="s">
        <v>1693</v>
      </c>
      <c r="L568" s="86" t="s">
        <v>1693</v>
      </c>
      <c r="M568" s="73">
        <v>6204430000</v>
      </c>
      <c r="N568" s="7"/>
      <c r="O568" s="86" t="s">
        <v>582</v>
      </c>
      <c r="P568">
        <v>1</v>
      </c>
    </row>
    <row r="569" spans="1:16" customFormat="1" ht="15">
      <c r="A569" s="84" t="str">
        <f>LEFT(M569,4)</f>
        <v>6204</v>
      </c>
      <c r="B569" s="84" t="str">
        <f t="shared" si="8"/>
        <v>ПЛАТЬЕ Без товарного знака жен. Артикул 5509 цвет РАЗНОЦВЕТНЫЙ р. 52</v>
      </c>
      <c r="C569" s="69" t="s">
        <v>1690</v>
      </c>
      <c r="D569" s="69" t="s">
        <v>55</v>
      </c>
      <c r="E569" s="91" t="s">
        <v>1881</v>
      </c>
      <c r="F569" s="69" t="s">
        <v>1691</v>
      </c>
      <c r="G569" s="72" t="s">
        <v>229</v>
      </c>
      <c r="H569" s="69" t="s">
        <v>1692</v>
      </c>
      <c r="I569" s="69" t="s">
        <v>59</v>
      </c>
      <c r="J569" s="86">
        <v>52</v>
      </c>
      <c r="K569" s="86" t="s">
        <v>1766</v>
      </c>
      <c r="L569" s="86" t="s">
        <v>1766</v>
      </c>
      <c r="M569" s="73">
        <v>6204440000</v>
      </c>
      <c r="N569" s="7"/>
      <c r="O569" s="86" t="s">
        <v>94</v>
      </c>
      <c r="P569">
        <v>1</v>
      </c>
    </row>
    <row r="570" spans="1:16" customFormat="1" ht="15">
      <c r="A570" s="84" t="str">
        <f>LEFT(M570,4)</f>
        <v>6204</v>
      </c>
      <c r="B570" s="84" t="str">
        <f t="shared" ref="B570:B633" si="9">CONCATENATE(F570," ", C570," ",H570," ",D570," ", E570, " цвет ", G570, " р. ", J570)</f>
        <v>ПЛАТЬЕ Без товарного знака жен. Артикул 5509 цвет РАЗНОЦВЕТНЫЙ р. 54</v>
      </c>
      <c r="C570" s="69" t="s">
        <v>1690</v>
      </c>
      <c r="D570" s="69" t="s">
        <v>55</v>
      </c>
      <c r="E570" s="91" t="s">
        <v>1881</v>
      </c>
      <c r="F570" s="69" t="s">
        <v>1691</v>
      </c>
      <c r="G570" s="72" t="s">
        <v>229</v>
      </c>
      <c r="H570" s="69" t="s">
        <v>1692</v>
      </c>
      <c r="I570" s="69" t="s">
        <v>59</v>
      </c>
      <c r="J570" s="86">
        <v>54</v>
      </c>
      <c r="K570" s="86" t="s">
        <v>1766</v>
      </c>
      <c r="L570" s="86" t="s">
        <v>1766</v>
      </c>
      <c r="M570" s="73">
        <v>6204440000</v>
      </c>
      <c r="N570" s="7"/>
      <c r="O570" s="86" t="s">
        <v>94</v>
      </c>
      <c r="P570">
        <v>1</v>
      </c>
    </row>
    <row r="571" spans="1:16" customFormat="1" ht="15">
      <c r="A571" s="84" t="str">
        <f>LEFT(M571,4)</f>
        <v>6204</v>
      </c>
      <c r="B571" s="84" t="str">
        <f t="shared" si="9"/>
        <v>ПЛАТЬЕ Без товарного знака жен. Артикул 2837 цвет РАЗНОЦВЕТНЫЙ р. 50</v>
      </c>
      <c r="C571" s="69" t="s">
        <v>1690</v>
      </c>
      <c r="D571" s="69" t="s">
        <v>55</v>
      </c>
      <c r="E571" s="91" t="s">
        <v>1882</v>
      </c>
      <c r="F571" s="69" t="s">
        <v>1691</v>
      </c>
      <c r="G571" s="72" t="s">
        <v>229</v>
      </c>
      <c r="H571" s="69" t="s">
        <v>1692</v>
      </c>
      <c r="I571" s="69" t="s">
        <v>59</v>
      </c>
      <c r="J571" s="86">
        <v>50</v>
      </c>
      <c r="K571" s="86" t="s">
        <v>1693</v>
      </c>
      <c r="L571" s="86" t="s">
        <v>1693</v>
      </c>
      <c r="M571" s="73">
        <v>6204430000</v>
      </c>
      <c r="N571" s="7"/>
      <c r="O571" s="86" t="s">
        <v>94</v>
      </c>
      <c r="P571">
        <v>1</v>
      </c>
    </row>
    <row r="572" spans="1:16" customFormat="1" ht="15">
      <c r="A572" s="84" t="str">
        <f>LEFT(M572,4)</f>
        <v>6204</v>
      </c>
      <c r="B572" s="84" t="str">
        <f t="shared" si="9"/>
        <v>ПЛАТЬЕ Без товарного знака жен. Артикул 0745 цвет СЕРЫЙ р. 52</v>
      </c>
      <c r="C572" s="69" t="s">
        <v>1690</v>
      </c>
      <c r="D572" s="69" t="s">
        <v>55</v>
      </c>
      <c r="E572" s="91" t="s">
        <v>1883</v>
      </c>
      <c r="F572" s="69" t="s">
        <v>1691</v>
      </c>
      <c r="G572" s="72" t="s">
        <v>273</v>
      </c>
      <c r="H572" s="69" t="s">
        <v>1692</v>
      </c>
      <c r="I572" s="69" t="s">
        <v>59</v>
      </c>
      <c r="J572" s="86">
        <v>52</v>
      </c>
      <c r="K572" s="86" t="s">
        <v>1693</v>
      </c>
      <c r="L572" s="86" t="s">
        <v>1693</v>
      </c>
      <c r="M572" s="73">
        <v>6204430000</v>
      </c>
      <c r="N572" s="7"/>
      <c r="O572" s="86" t="s">
        <v>94</v>
      </c>
      <c r="P572">
        <v>1</v>
      </c>
    </row>
    <row r="573" spans="1:16" customFormat="1" ht="15">
      <c r="A573" s="84" t="str">
        <f>LEFT(M573,4)</f>
        <v>6204</v>
      </c>
      <c r="B573" s="84" t="str">
        <f t="shared" si="9"/>
        <v>ПЛАТЬЕ Без товарного знака жен. Артикул 0745 цвет ФИОЛЕТОВЫЙ р. 50</v>
      </c>
      <c r="C573" s="69" t="s">
        <v>1690</v>
      </c>
      <c r="D573" s="69" t="s">
        <v>55</v>
      </c>
      <c r="E573" s="91" t="s">
        <v>1883</v>
      </c>
      <c r="F573" s="69" t="s">
        <v>1691</v>
      </c>
      <c r="G573" s="72" t="s">
        <v>318</v>
      </c>
      <c r="H573" s="69" t="s">
        <v>1692</v>
      </c>
      <c r="I573" s="69" t="s">
        <v>59</v>
      </c>
      <c r="J573" s="86">
        <v>50</v>
      </c>
      <c r="K573" s="86" t="s">
        <v>1693</v>
      </c>
      <c r="L573" s="86" t="s">
        <v>1693</v>
      </c>
      <c r="M573" s="73">
        <v>6204430000</v>
      </c>
      <c r="N573" s="7"/>
      <c r="O573" s="86" t="s">
        <v>94</v>
      </c>
      <c r="P573">
        <v>1</v>
      </c>
    </row>
    <row r="574" spans="1:16" customFormat="1" ht="15">
      <c r="A574" s="84" t="str">
        <f>LEFT(M574,4)</f>
        <v>6204</v>
      </c>
      <c r="B574" s="84" t="str">
        <f t="shared" si="9"/>
        <v>ПЛАТЬЕ Без товарного знака жен. Артикул 4007 цвет ФУКСИЯ р. 52</v>
      </c>
      <c r="C574" s="69" t="s">
        <v>1690</v>
      </c>
      <c r="D574" s="69" t="s">
        <v>55</v>
      </c>
      <c r="E574" s="91" t="s">
        <v>1884</v>
      </c>
      <c r="F574" s="69" t="s">
        <v>1691</v>
      </c>
      <c r="G574" s="72" t="s">
        <v>321</v>
      </c>
      <c r="H574" s="69" t="s">
        <v>1692</v>
      </c>
      <c r="I574" s="69" t="s">
        <v>59</v>
      </c>
      <c r="J574" s="86">
        <v>52</v>
      </c>
      <c r="K574" s="86" t="s">
        <v>1693</v>
      </c>
      <c r="L574" s="86" t="s">
        <v>1693</v>
      </c>
      <c r="M574" s="73">
        <v>6204430000</v>
      </c>
      <c r="N574" s="7"/>
      <c r="O574" s="86" t="s">
        <v>94</v>
      </c>
      <c r="P574">
        <v>1</v>
      </c>
    </row>
    <row r="575" spans="1:16" customFormat="1" ht="15">
      <c r="A575" s="84" t="str">
        <f>LEFT(M575,4)</f>
        <v>6204</v>
      </c>
      <c r="B575" s="84" t="str">
        <f t="shared" si="9"/>
        <v>ПЛАТЬЕ Без товарного знака жен. Артикул 7290 цвет ЧЕРНЫЙ р. 52</v>
      </c>
      <c r="C575" s="69" t="s">
        <v>1690</v>
      </c>
      <c r="D575" s="69" t="s">
        <v>55</v>
      </c>
      <c r="E575" s="91" t="s">
        <v>1885</v>
      </c>
      <c r="F575" s="69" t="s">
        <v>1691</v>
      </c>
      <c r="G575" s="72" t="s">
        <v>330</v>
      </c>
      <c r="H575" s="69" t="s">
        <v>1692</v>
      </c>
      <c r="I575" s="69" t="s">
        <v>59</v>
      </c>
      <c r="J575" s="86">
        <v>52</v>
      </c>
      <c r="K575" s="86" t="s">
        <v>1693</v>
      </c>
      <c r="L575" s="86" t="s">
        <v>1693</v>
      </c>
      <c r="M575" s="73">
        <v>6204430000</v>
      </c>
      <c r="N575" s="7"/>
      <c r="O575" s="86" t="s">
        <v>94</v>
      </c>
      <c r="P575">
        <v>1</v>
      </c>
    </row>
    <row r="576" spans="1:16" customFormat="1" ht="15">
      <c r="A576" s="84" t="str">
        <f>LEFT(M576,4)</f>
        <v>6204</v>
      </c>
      <c r="B576" s="84" t="str">
        <f t="shared" si="9"/>
        <v>ПЛАТЬЕ Без товарного знака жен. Артикул 7290 цвет БЕЖЕВЫЙ р. 58</v>
      </c>
      <c r="C576" s="69" t="s">
        <v>1690</v>
      </c>
      <c r="D576" s="69" t="s">
        <v>55</v>
      </c>
      <c r="E576" s="91" t="s">
        <v>1885</v>
      </c>
      <c r="F576" s="69" t="s">
        <v>1691</v>
      </c>
      <c r="G576" s="72" t="s">
        <v>57</v>
      </c>
      <c r="H576" s="69" t="s">
        <v>1692</v>
      </c>
      <c r="I576" s="69" t="s">
        <v>59</v>
      </c>
      <c r="J576" s="86">
        <v>58</v>
      </c>
      <c r="K576" s="86" t="s">
        <v>1693</v>
      </c>
      <c r="L576" s="86" t="s">
        <v>1693</v>
      </c>
      <c r="M576" s="73">
        <v>6204430000</v>
      </c>
      <c r="N576" s="7"/>
      <c r="O576" s="86" t="s">
        <v>94</v>
      </c>
      <c r="P576">
        <v>1</v>
      </c>
    </row>
    <row r="577" spans="1:16" customFormat="1" ht="15">
      <c r="A577" s="84" t="str">
        <f>LEFT(M577,4)</f>
        <v>6204</v>
      </c>
      <c r="B577" s="84" t="str">
        <f t="shared" si="9"/>
        <v>ПЛАТЬЕ Без товарного знака жен. Артикул 4831 цвет РАЗНОЦВЕТНЫЙ р. 52</v>
      </c>
      <c r="C577" s="69" t="s">
        <v>1690</v>
      </c>
      <c r="D577" s="69" t="s">
        <v>55</v>
      </c>
      <c r="E577" s="91" t="s">
        <v>1886</v>
      </c>
      <c r="F577" s="69" t="s">
        <v>1691</v>
      </c>
      <c r="G577" s="72" t="s">
        <v>229</v>
      </c>
      <c r="H577" s="69" t="s">
        <v>1692</v>
      </c>
      <c r="I577" s="69" t="s">
        <v>59</v>
      </c>
      <c r="J577" s="86">
        <v>52</v>
      </c>
      <c r="K577" s="86" t="s">
        <v>1693</v>
      </c>
      <c r="L577" s="86" t="s">
        <v>1693</v>
      </c>
      <c r="M577" s="73">
        <v>6204430000</v>
      </c>
      <c r="N577" s="7"/>
      <c r="O577" s="86" t="s">
        <v>94</v>
      </c>
      <c r="P577">
        <v>1</v>
      </c>
    </row>
    <row r="578" spans="1:16" customFormat="1" ht="15">
      <c r="A578" s="84" t="str">
        <f>LEFT(M578,4)</f>
        <v>6204</v>
      </c>
      <c r="B578" s="84" t="str">
        <f t="shared" si="9"/>
        <v>ПЛАТЬЕ Без товарного знака жен. Артикул 5960 цвет РАЗНОЦВЕТНЫЙ р. 52</v>
      </c>
      <c r="C578" s="69" t="s">
        <v>1690</v>
      </c>
      <c r="D578" s="69" t="s">
        <v>55</v>
      </c>
      <c r="E578" s="91" t="s">
        <v>1887</v>
      </c>
      <c r="F578" s="69" t="s">
        <v>1691</v>
      </c>
      <c r="G578" s="72" t="s">
        <v>229</v>
      </c>
      <c r="H578" s="69" t="s">
        <v>1692</v>
      </c>
      <c r="I578" s="69" t="s">
        <v>59</v>
      </c>
      <c r="J578" s="86">
        <v>52</v>
      </c>
      <c r="K578" s="86" t="s">
        <v>1693</v>
      </c>
      <c r="L578" s="86" t="s">
        <v>1693</v>
      </c>
      <c r="M578" s="73">
        <v>6204430000</v>
      </c>
      <c r="N578" s="7"/>
      <c r="O578" s="86" t="s">
        <v>94</v>
      </c>
      <c r="P578">
        <v>1</v>
      </c>
    </row>
    <row r="579" spans="1:16" customFormat="1" ht="15">
      <c r="A579" s="84" t="str">
        <f>LEFT(M579,4)</f>
        <v>6204</v>
      </c>
      <c r="B579" s="84" t="str">
        <f t="shared" si="9"/>
        <v>ПЛАТЬЕ Без товарного знака жен. Артикул 4850 цвет РАЗНОЦВЕТНЫЙ р. 52</v>
      </c>
      <c r="C579" s="69" t="s">
        <v>1690</v>
      </c>
      <c r="D579" s="69" t="s">
        <v>55</v>
      </c>
      <c r="E579" s="91" t="s">
        <v>1888</v>
      </c>
      <c r="F579" s="69" t="s">
        <v>1691</v>
      </c>
      <c r="G579" s="72" t="s">
        <v>229</v>
      </c>
      <c r="H579" s="69" t="s">
        <v>1692</v>
      </c>
      <c r="I579" s="69" t="s">
        <v>59</v>
      </c>
      <c r="J579" s="86">
        <v>52</v>
      </c>
      <c r="K579" s="86" t="s">
        <v>1693</v>
      </c>
      <c r="L579" s="86" t="s">
        <v>1693</v>
      </c>
      <c r="M579" s="73">
        <v>6204430000</v>
      </c>
      <c r="N579" s="7"/>
      <c r="O579" s="86" t="s">
        <v>94</v>
      </c>
      <c r="P579">
        <v>1</v>
      </c>
    </row>
    <row r="580" spans="1:16" customFormat="1" ht="15">
      <c r="A580" s="84" t="str">
        <f>LEFT(M580,4)</f>
        <v>6204</v>
      </c>
      <c r="B580" s="84" t="str">
        <f t="shared" si="9"/>
        <v>ПЛАТЬЕ Без товарного знака жен. Артикул 4898 цвет РАЗНОЦВЕТНЫЙ р. 52</v>
      </c>
      <c r="C580" s="69" t="s">
        <v>1690</v>
      </c>
      <c r="D580" s="69" t="s">
        <v>55</v>
      </c>
      <c r="E580" s="91" t="s">
        <v>1889</v>
      </c>
      <c r="F580" s="69" t="s">
        <v>1691</v>
      </c>
      <c r="G580" s="72" t="s">
        <v>229</v>
      </c>
      <c r="H580" s="69" t="s">
        <v>1692</v>
      </c>
      <c r="I580" s="69" t="s">
        <v>59</v>
      </c>
      <c r="J580" s="86">
        <v>52</v>
      </c>
      <c r="K580" s="86" t="s">
        <v>1693</v>
      </c>
      <c r="L580" s="86" t="s">
        <v>1693</v>
      </c>
      <c r="M580" s="73">
        <v>6204430000</v>
      </c>
      <c r="N580" s="7"/>
      <c r="O580" s="86" t="s">
        <v>94</v>
      </c>
      <c r="P580">
        <v>1</v>
      </c>
    </row>
    <row r="581" spans="1:16" customFormat="1" ht="15">
      <c r="A581" s="84" t="str">
        <f>LEFT(M581,4)</f>
        <v>6204</v>
      </c>
      <c r="B581" s="84" t="str">
        <f t="shared" si="9"/>
        <v>ПЛАТЬЕ Без товарного знака жен. Артикул 4898 цвет РАЗНОЦВЕТНЫЙ р. 54</v>
      </c>
      <c r="C581" s="69" t="s">
        <v>1690</v>
      </c>
      <c r="D581" s="69" t="s">
        <v>55</v>
      </c>
      <c r="E581" s="91" t="s">
        <v>1889</v>
      </c>
      <c r="F581" s="69" t="s">
        <v>1691</v>
      </c>
      <c r="G581" s="72" t="s">
        <v>229</v>
      </c>
      <c r="H581" s="69" t="s">
        <v>1692</v>
      </c>
      <c r="I581" s="69" t="s">
        <v>59</v>
      </c>
      <c r="J581" s="86">
        <v>54</v>
      </c>
      <c r="K581" s="86" t="s">
        <v>1693</v>
      </c>
      <c r="L581" s="86" t="s">
        <v>1693</v>
      </c>
      <c r="M581" s="73">
        <v>6204430000</v>
      </c>
      <c r="N581" s="7"/>
      <c r="O581" s="86" t="s">
        <v>94</v>
      </c>
      <c r="P581">
        <v>1</v>
      </c>
    </row>
    <row r="582" spans="1:16" customFormat="1" ht="15">
      <c r="A582" s="84" t="str">
        <f>LEFT(M582,4)</f>
        <v>6204</v>
      </c>
      <c r="B582" s="84" t="str">
        <f t="shared" si="9"/>
        <v>ПЛАТЬЕ Без товарного знака жен. Артикул 4752 цвет РАЗНОЦВЕТНЫЙ р. 50</v>
      </c>
      <c r="C582" s="69" t="s">
        <v>1690</v>
      </c>
      <c r="D582" s="69" t="s">
        <v>55</v>
      </c>
      <c r="E582" s="91" t="s">
        <v>1890</v>
      </c>
      <c r="F582" s="69" t="s">
        <v>1691</v>
      </c>
      <c r="G582" s="72" t="s">
        <v>229</v>
      </c>
      <c r="H582" s="69" t="s">
        <v>1692</v>
      </c>
      <c r="I582" s="69" t="s">
        <v>59</v>
      </c>
      <c r="J582" s="86">
        <v>50</v>
      </c>
      <c r="K582" s="86" t="s">
        <v>1693</v>
      </c>
      <c r="L582" s="86" t="s">
        <v>1693</v>
      </c>
      <c r="M582" s="73">
        <v>6204430000</v>
      </c>
      <c r="N582" s="7"/>
      <c r="O582" s="86" t="s">
        <v>94</v>
      </c>
      <c r="P582">
        <v>1</v>
      </c>
    </row>
    <row r="583" spans="1:16" customFormat="1" ht="15">
      <c r="A583" s="84" t="str">
        <f>LEFT(M583,4)</f>
        <v>6204</v>
      </c>
      <c r="B583" s="84" t="str">
        <f t="shared" si="9"/>
        <v>ПЛАТЬЕ Без товарного знака жен. Артикул 4752 цвет РАЗНОЦВЕТНЫЙ р. 52</v>
      </c>
      <c r="C583" s="69" t="s">
        <v>1690</v>
      </c>
      <c r="D583" s="69" t="s">
        <v>55</v>
      </c>
      <c r="E583" s="91" t="s">
        <v>1890</v>
      </c>
      <c r="F583" s="69" t="s">
        <v>1691</v>
      </c>
      <c r="G583" s="72" t="s">
        <v>229</v>
      </c>
      <c r="H583" s="69" t="s">
        <v>1692</v>
      </c>
      <c r="I583" s="69" t="s">
        <v>59</v>
      </c>
      <c r="J583" s="86">
        <v>52</v>
      </c>
      <c r="K583" s="86" t="s">
        <v>1693</v>
      </c>
      <c r="L583" s="86" t="s">
        <v>1693</v>
      </c>
      <c r="M583" s="73">
        <v>6204430000</v>
      </c>
      <c r="N583" s="7"/>
      <c r="O583" s="86" t="s">
        <v>94</v>
      </c>
      <c r="P583">
        <v>1</v>
      </c>
    </row>
    <row r="584" spans="1:16" customFormat="1" ht="15">
      <c r="A584" s="84" t="str">
        <f>LEFT(M584,4)</f>
        <v>6204</v>
      </c>
      <c r="B584" s="84" t="str">
        <f t="shared" si="9"/>
        <v>ПЛАТЬЕ Без товарного знака жен. Артикул 4864 цвет РАЗНОЦВЕТНЫЙ р. 52</v>
      </c>
      <c r="C584" s="69" t="s">
        <v>1690</v>
      </c>
      <c r="D584" s="69" t="s">
        <v>55</v>
      </c>
      <c r="E584" s="91" t="s">
        <v>1891</v>
      </c>
      <c r="F584" s="69" t="s">
        <v>1691</v>
      </c>
      <c r="G584" s="72" t="s">
        <v>229</v>
      </c>
      <c r="H584" s="69" t="s">
        <v>1692</v>
      </c>
      <c r="I584" s="69" t="s">
        <v>59</v>
      </c>
      <c r="J584" s="86">
        <v>52</v>
      </c>
      <c r="K584" s="86" t="s">
        <v>1693</v>
      </c>
      <c r="L584" s="86" t="s">
        <v>1693</v>
      </c>
      <c r="M584" s="73">
        <v>6204430000</v>
      </c>
      <c r="N584" s="7"/>
      <c r="O584" s="86" t="s">
        <v>94</v>
      </c>
      <c r="P584">
        <v>1</v>
      </c>
    </row>
    <row r="585" spans="1:16" customFormat="1" ht="15">
      <c r="A585" s="84" t="str">
        <f>LEFT(M585,4)</f>
        <v>6204</v>
      </c>
      <c r="B585" s="84" t="str">
        <f t="shared" si="9"/>
        <v>ПЛАТЬЕ Без товарного знака жен. Артикул 7343 цвет РАЗНОЦВЕТНЫЙ р. 52</v>
      </c>
      <c r="C585" s="69" t="s">
        <v>1690</v>
      </c>
      <c r="D585" s="69" t="s">
        <v>55</v>
      </c>
      <c r="E585" s="91" t="s">
        <v>1892</v>
      </c>
      <c r="F585" s="69" t="s">
        <v>1691</v>
      </c>
      <c r="G585" s="72" t="s">
        <v>229</v>
      </c>
      <c r="H585" s="69" t="s">
        <v>1692</v>
      </c>
      <c r="I585" s="69" t="s">
        <v>59</v>
      </c>
      <c r="J585" s="86">
        <v>52</v>
      </c>
      <c r="K585" s="86" t="s">
        <v>1893</v>
      </c>
      <c r="L585" s="86" t="s">
        <v>1893</v>
      </c>
      <c r="M585" s="73">
        <v>6204430000</v>
      </c>
      <c r="N585" s="7"/>
      <c r="O585" s="86" t="s">
        <v>94</v>
      </c>
      <c r="P585">
        <v>1</v>
      </c>
    </row>
    <row r="586" spans="1:16" customFormat="1" ht="15">
      <c r="A586" s="84" t="str">
        <f>LEFT(M586,4)</f>
        <v>6204</v>
      </c>
      <c r="B586" s="84" t="str">
        <f t="shared" si="9"/>
        <v>ПЛАТЬЕ Без товарного знака жен. Артикул 6099 цвет РАЗНОЦВЕТНЫЙ р. 54</v>
      </c>
      <c r="C586" s="69" t="s">
        <v>1690</v>
      </c>
      <c r="D586" s="69" t="s">
        <v>55</v>
      </c>
      <c r="E586" s="91" t="s">
        <v>1894</v>
      </c>
      <c r="F586" s="69" t="s">
        <v>1691</v>
      </c>
      <c r="G586" s="72" t="s">
        <v>229</v>
      </c>
      <c r="H586" s="69" t="s">
        <v>1692</v>
      </c>
      <c r="I586" s="69" t="s">
        <v>59</v>
      </c>
      <c r="J586" s="86">
        <v>54</v>
      </c>
      <c r="K586" s="86" t="s">
        <v>1859</v>
      </c>
      <c r="L586" s="86" t="s">
        <v>1859</v>
      </c>
      <c r="M586" s="73">
        <v>6204440000</v>
      </c>
      <c r="N586" s="7"/>
      <c r="O586" s="86" t="s">
        <v>582</v>
      </c>
      <c r="P586">
        <v>1</v>
      </c>
    </row>
    <row r="587" spans="1:16" customFormat="1" ht="15">
      <c r="A587" s="84" t="str">
        <f>LEFT(M587,4)</f>
        <v>6204</v>
      </c>
      <c r="B587" s="84" t="str">
        <f t="shared" si="9"/>
        <v>ПЛАТЬЕ Без товарного знака жен. Артикул 7365 цвет ЛИЛОВЫЙ р. 52</v>
      </c>
      <c r="C587" s="69" t="s">
        <v>1690</v>
      </c>
      <c r="D587" s="69" t="s">
        <v>55</v>
      </c>
      <c r="E587" s="91" t="s">
        <v>1895</v>
      </c>
      <c r="F587" s="69" t="s">
        <v>1691</v>
      </c>
      <c r="G587" s="72" t="s">
        <v>193</v>
      </c>
      <c r="H587" s="69" t="s">
        <v>1692</v>
      </c>
      <c r="I587" s="69" t="s">
        <v>59</v>
      </c>
      <c r="J587" s="86">
        <v>52</v>
      </c>
      <c r="K587" s="86" t="s">
        <v>1693</v>
      </c>
      <c r="L587" s="86" t="s">
        <v>1693</v>
      </c>
      <c r="M587" s="73">
        <v>6204430000</v>
      </c>
      <c r="N587" s="7"/>
      <c r="O587" s="86" t="s">
        <v>94</v>
      </c>
      <c r="P587">
        <v>1</v>
      </c>
    </row>
    <row r="588" spans="1:16" customFormat="1" ht="15">
      <c r="A588" s="84" t="str">
        <f>LEFT(M588,4)</f>
        <v>6204</v>
      </c>
      <c r="B588" s="84" t="str">
        <f t="shared" si="9"/>
        <v>ПЛАТЬЕ Без товарного знака жен. Артикул 7365 цвет ЛИЛОВЫЙ р. 54</v>
      </c>
      <c r="C588" s="69" t="s">
        <v>1690</v>
      </c>
      <c r="D588" s="69" t="s">
        <v>55</v>
      </c>
      <c r="E588" s="91" t="s">
        <v>1895</v>
      </c>
      <c r="F588" s="69" t="s">
        <v>1691</v>
      </c>
      <c r="G588" s="72" t="s">
        <v>193</v>
      </c>
      <c r="H588" s="69" t="s">
        <v>1692</v>
      </c>
      <c r="I588" s="69" t="s">
        <v>59</v>
      </c>
      <c r="J588" s="86">
        <v>54</v>
      </c>
      <c r="K588" s="86" t="s">
        <v>1693</v>
      </c>
      <c r="L588" s="86" t="s">
        <v>1693</v>
      </c>
      <c r="M588" s="73">
        <v>6204430000</v>
      </c>
      <c r="N588" s="7"/>
      <c r="O588" s="86" t="s">
        <v>94</v>
      </c>
      <c r="P588">
        <v>1</v>
      </c>
    </row>
    <row r="589" spans="1:16" customFormat="1" ht="15">
      <c r="A589" s="84" t="str">
        <f>LEFT(M589,4)</f>
        <v>6204</v>
      </c>
      <c r="B589" s="84" t="str">
        <f t="shared" si="9"/>
        <v>ПЛАТЬЕ Без товарного знака жен. Артикул 7365 цвет ЛИЛОВЫЙ р. 56</v>
      </c>
      <c r="C589" s="69" t="s">
        <v>1690</v>
      </c>
      <c r="D589" s="69" t="s">
        <v>55</v>
      </c>
      <c r="E589" s="91" t="s">
        <v>1895</v>
      </c>
      <c r="F589" s="69" t="s">
        <v>1691</v>
      </c>
      <c r="G589" s="72" t="s">
        <v>193</v>
      </c>
      <c r="H589" s="69" t="s">
        <v>1692</v>
      </c>
      <c r="I589" s="69" t="s">
        <v>59</v>
      </c>
      <c r="J589" s="86">
        <v>56</v>
      </c>
      <c r="K589" s="86" t="s">
        <v>1693</v>
      </c>
      <c r="L589" s="86" t="s">
        <v>1693</v>
      </c>
      <c r="M589" s="73">
        <v>6204430000</v>
      </c>
      <c r="N589" s="7"/>
      <c r="O589" s="86" t="s">
        <v>94</v>
      </c>
      <c r="P589">
        <v>1</v>
      </c>
    </row>
    <row r="590" spans="1:16" customFormat="1" ht="15">
      <c r="A590" s="84" t="str">
        <f>LEFT(M590,4)</f>
        <v>6204</v>
      </c>
      <c r="B590" s="84" t="str">
        <f t="shared" si="9"/>
        <v>ПЛАТЬЕ Без товарного знака жен. Артикул 7365 цвет ЛИЛОВЫЙ р. 58</v>
      </c>
      <c r="C590" s="69" t="s">
        <v>1690</v>
      </c>
      <c r="D590" s="69" t="s">
        <v>55</v>
      </c>
      <c r="E590" s="91" t="s">
        <v>1895</v>
      </c>
      <c r="F590" s="69" t="s">
        <v>1691</v>
      </c>
      <c r="G590" s="72" t="s">
        <v>193</v>
      </c>
      <c r="H590" s="69" t="s">
        <v>1692</v>
      </c>
      <c r="I590" s="69" t="s">
        <v>59</v>
      </c>
      <c r="J590" s="86">
        <v>58</v>
      </c>
      <c r="K590" s="86" t="s">
        <v>1693</v>
      </c>
      <c r="L590" s="86" t="s">
        <v>1693</v>
      </c>
      <c r="M590" s="73">
        <v>6204430000</v>
      </c>
      <c r="N590" s="7"/>
      <c r="O590" s="86" t="s">
        <v>94</v>
      </c>
      <c r="P590">
        <v>1</v>
      </c>
    </row>
    <row r="591" spans="1:16" customFormat="1" ht="15">
      <c r="A591" s="84" t="str">
        <f>LEFT(M591,4)</f>
        <v>6204</v>
      </c>
      <c r="B591" s="84" t="str">
        <f t="shared" si="9"/>
        <v>ПЛАТЬЕ Без товарного знака жен. Артикул 7389 цвет ЧЕРНЫЙ р. 52</v>
      </c>
      <c r="C591" s="69" t="s">
        <v>1690</v>
      </c>
      <c r="D591" s="69" t="s">
        <v>55</v>
      </c>
      <c r="E591" s="91" t="s">
        <v>1896</v>
      </c>
      <c r="F591" s="69" t="s">
        <v>1691</v>
      </c>
      <c r="G591" s="72" t="s">
        <v>330</v>
      </c>
      <c r="H591" s="69" t="s">
        <v>1692</v>
      </c>
      <c r="I591" s="69" t="s">
        <v>59</v>
      </c>
      <c r="J591" s="86">
        <v>52</v>
      </c>
      <c r="K591" s="86" t="s">
        <v>1693</v>
      </c>
      <c r="L591" s="86" t="s">
        <v>1693</v>
      </c>
      <c r="M591" s="73">
        <v>6204430000</v>
      </c>
      <c r="N591" s="7"/>
      <c r="O591" s="86" t="s">
        <v>94</v>
      </c>
      <c r="P591">
        <v>1</v>
      </c>
    </row>
    <row r="592" spans="1:16" customFormat="1" ht="15">
      <c r="A592" s="84" t="str">
        <f>LEFT(M592,4)</f>
        <v>6204</v>
      </c>
      <c r="B592" s="84" t="str">
        <f t="shared" si="9"/>
        <v>ПЛАТЬЕ Без товарного знака жен. Артикул 7389 цвет ЧЕРНЫЙ р. 54</v>
      </c>
      <c r="C592" s="69" t="s">
        <v>1690</v>
      </c>
      <c r="D592" s="69" t="s">
        <v>55</v>
      </c>
      <c r="E592" s="91" t="s">
        <v>1896</v>
      </c>
      <c r="F592" s="69" t="s">
        <v>1691</v>
      </c>
      <c r="G592" s="72" t="s">
        <v>330</v>
      </c>
      <c r="H592" s="69" t="s">
        <v>1692</v>
      </c>
      <c r="I592" s="69" t="s">
        <v>59</v>
      </c>
      <c r="J592" s="86">
        <v>54</v>
      </c>
      <c r="K592" s="86" t="s">
        <v>1693</v>
      </c>
      <c r="L592" s="86" t="s">
        <v>1693</v>
      </c>
      <c r="M592" s="73">
        <v>6204430000</v>
      </c>
      <c r="N592" s="7"/>
      <c r="O592" s="86" t="s">
        <v>94</v>
      </c>
      <c r="P592">
        <v>1</v>
      </c>
    </row>
    <row r="593" spans="1:16" customFormat="1" ht="15">
      <c r="A593" s="84" t="str">
        <f>LEFT(M593,4)</f>
        <v>6204</v>
      </c>
      <c r="B593" s="84" t="str">
        <f t="shared" si="9"/>
        <v>ПЛАТЬЕ Без товарного знака жен. Артикул 7389 цвет ЧЕРНЫЙ р. 56</v>
      </c>
      <c r="C593" s="69" t="s">
        <v>1690</v>
      </c>
      <c r="D593" s="69" t="s">
        <v>55</v>
      </c>
      <c r="E593" s="91" t="s">
        <v>1896</v>
      </c>
      <c r="F593" s="69" t="s">
        <v>1691</v>
      </c>
      <c r="G593" s="72" t="s">
        <v>330</v>
      </c>
      <c r="H593" s="69" t="s">
        <v>1692</v>
      </c>
      <c r="I593" s="69" t="s">
        <v>59</v>
      </c>
      <c r="J593" s="86">
        <v>56</v>
      </c>
      <c r="K593" s="86" t="s">
        <v>1693</v>
      </c>
      <c r="L593" s="86" t="s">
        <v>1693</v>
      </c>
      <c r="M593" s="73">
        <v>6204430000</v>
      </c>
      <c r="N593" s="7"/>
      <c r="O593" s="86" t="s">
        <v>94</v>
      </c>
      <c r="P593">
        <v>1</v>
      </c>
    </row>
    <row r="594" spans="1:16" customFormat="1" ht="15">
      <c r="A594" s="84" t="str">
        <f>LEFT(M594,4)</f>
        <v>6204</v>
      </c>
      <c r="B594" s="84" t="str">
        <f t="shared" si="9"/>
        <v>ПЛАТЬЕ Без товарного знака жен. Артикул 7389 цвет ЧЕРНЫЙ р. 50</v>
      </c>
      <c r="C594" s="69" t="s">
        <v>1690</v>
      </c>
      <c r="D594" s="69" t="s">
        <v>55</v>
      </c>
      <c r="E594" s="91" t="s">
        <v>1896</v>
      </c>
      <c r="F594" s="69" t="s">
        <v>1691</v>
      </c>
      <c r="G594" s="72" t="s">
        <v>330</v>
      </c>
      <c r="H594" s="69" t="s">
        <v>1692</v>
      </c>
      <c r="I594" s="69" t="s">
        <v>59</v>
      </c>
      <c r="J594" s="86">
        <v>50</v>
      </c>
      <c r="K594" s="86" t="s">
        <v>1693</v>
      </c>
      <c r="L594" s="86" t="s">
        <v>1693</v>
      </c>
      <c r="M594" s="73">
        <v>6204430000</v>
      </c>
      <c r="N594" s="7"/>
      <c r="O594" s="86" t="s">
        <v>94</v>
      </c>
      <c r="P594">
        <v>1</v>
      </c>
    </row>
    <row r="595" spans="1:16" customFormat="1" ht="15">
      <c r="A595" s="84" t="str">
        <f>LEFT(M595,4)</f>
        <v>6204</v>
      </c>
      <c r="B595" s="84" t="str">
        <f t="shared" si="9"/>
        <v>ПЛАТЬЕ Без товарного знака жен. Артикул 4642 цвет СИНИЙ р. 52</v>
      </c>
      <c r="C595" s="69" t="s">
        <v>1690</v>
      </c>
      <c r="D595" s="69" t="s">
        <v>55</v>
      </c>
      <c r="E595" s="91" t="s">
        <v>1897</v>
      </c>
      <c r="F595" s="69" t="s">
        <v>1691</v>
      </c>
      <c r="G595" s="72" t="s">
        <v>279</v>
      </c>
      <c r="H595" s="69" t="s">
        <v>1692</v>
      </c>
      <c r="I595" s="69" t="s">
        <v>59</v>
      </c>
      <c r="J595" s="86">
        <v>52</v>
      </c>
      <c r="K595" s="86" t="s">
        <v>1898</v>
      </c>
      <c r="L595" s="86" t="s">
        <v>1898</v>
      </c>
      <c r="M595" s="73">
        <v>6204430000</v>
      </c>
      <c r="N595" s="7"/>
      <c r="O595" s="86" t="s">
        <v>94</v>
      </c>
      <c r="P595">
        <v>1</v>
      </c>
    </row>
    <row r="596" spans="1:16" customFormat="1" ht="15">
      <c r="A596" s="84" t="str">
        <f>LEFT(M596,4)</f>
        <v>6204</v>
      </c>
      <c r="B596" s="84" t="str">
        <f t="shared" si="9"/>
        <v>ПЛАТЬЕ Без товарного знака жен. Артикул 4656 цвет СИНИЙ р. 52</v>
      </c>
      <c r="C596" s="69" t="s">
        <v>1690</v>
      </c>
      <c r="D596" s="69" t="s">
        <v>55</v>
      </c>
      <c r="E596" s="91" t="s">
        <v>1899</v>
      </c>
      <c r="F596" s="69" t="s">
        <v>1691</v>
      </c>
      <c r="G596" s="72" t="s">
        <v>279</v>
      </c>
      <c r="H596" s="69" t="s">
        <v>1692</v>
      </c>
      <c r="I596" s="69" t="s">
        <v>59</v>
      </c>
      <c r="J596" s="86">
        <v>52</v>
      </c>
      <c r="K596" s="86" t="s">
        <v>1693</v>
      </c>
      <c r="L596" s="86" t="s">
        <v>1693</v>
      </c>
      <c r="M596" s="73">
        <v>6204430000</v>
      </c>
      <c r="N596" s="7"/>
      <c r="O596" s="86" t="s">
        <v>94</v>
      </c>
      <c r="P596">
        <v>1</v>
      </c>
    </row>
    <row r="597" spans="1:16" customFormat="1" ht="15">
      <c r="A597" s="84" t="str">
        <f>LEFT(M597,4)</f>
        <v>6204</v>
      </c>
      <c r="B597" s="84" t="str">
        <f t="shared" si="9"/>
        <v>ПЛАТЬЕ Без товарного знака жен. Артикул 0125541 цвет ИЗУМРУДНЫЙ р. 42</v>
      </c>
      <c r="C597" s="69" t="s">
        <v>1690</v>
      </c>
      <c r="D597" s="69" t="s">
        <v>55</v>
      </c>
      <c r="E597" s="91" t="s">
        <v>1900</v>
      </c>
      <c r="F597" s="69" t="s">
        <v>1691</v>
      </c>
      <c r="G597" s="86" t="s">
        <v>160</v>
      </c>
      <c r="H597" s="69" t="s">
        <v>1692</v>
      </c>
      <c r="I597" s="69" t="s">
        <v>59</v>
      </c>
      <c r="J597" s="86">
        <v>42</v>
      </c>
      <c r="K597" s="86" t="s">
        <v>1776</v>
      </c>
      <c r="L597" s="86" t="s">
        <v>1776</v>
      </c>
      <c r="M597" s="73">
        <v>6204430000</v>
      </c>
      <c r="N597" s="7"/>
      <c r="O597" s="86" t="s">
        <v>59</v>
      </c>
      <c r="P597">
        <v>1</v>
      </c>
    </row>
    <row r="598" spans="1:16" customFormat="1" ht="15.75">
      <c r="A598" s="84" t="str">
        <f>LEFT(M598,4)</f>
        <v>6204</v>
      </c>
      <c r="B598" s="84" t="str">
        <f t="shared" si="9"/>
        <v>ПЛАТЬЕ Без товарного знака жен. Артикул 0125541 цвет ГОЛУБОЙ р. 46</v>
      </c>
      <c r="C598" s="69" t="s">
        <v>1690</v>
      </c>
      <c r="D598" s="69" t="s">
        <v>55</v>
      </c>
      <c r="E598" s="91" t="s">
        <v>1900</v>
      </c>
      <c r="F598" s="69" t="s">
        <v>1691</v>
      </c>
      <c r="G598" s="86" t="s">
        <v>141</v>
      </c>
      <c r="H598" s="69" t="s">
        <v>1692</v>
      </c>
      <c r="I598" s="69" t="s">
        <v>59</v>
      </c>
      <c r="J598" s="86">
        <v>46</v>
      </c>
      <c r="K598" s="86" t="s">
        <v>1693</v>
      </c>
      <c r="L598" s="86" t="s">
        <v>1693</v>
      </c>
      <c r="M598" s="94">
        <v>6204430000</v>
      </c>
      <c r="N598" s="7"/>
      <c r="O598" s="86" t="s">
        <v>59</v>
      </c>
      <c r="P598">
        <v>1</v>
      </c>
    </row>
    <row r="599" spans="1:16" customFormat="1" ht="15.75">
      <c r="A599" s="84" t="str">
        <f>LEFT(M599,4)</f>
        <v>6204</v>
      </c>
      <c r="B599" s="84" t="str">
        <f t="shared" si="9"/>
        <v>ПЛАТЬЕ Без товарного знака жен. Артикул 1171 цвет РАЗНОЦВЕТНЫЙ р. 42</v>
      </c>
      <c r="C599" s="69" t="s">
        <v>1690</v>
      </c>
      <c r="D599" s="69" t="s">
        <v>55</v>
      </c>
      <c r="E599" s="91" t="s">
        <v>1901</v>
      </c>
      <c r="F599" s="69" t="s">
        <v>1691</v>
      </c>
      <c r="G599" s="86" t="s">
        <v>229</v>
      </c>
      <c r="H599" s="69" t="s">
        <v>1692</v>
      </c>
      <c r="I599" s="69" t="s">
        <v>59</v>
      </c>
      <c r="J599" s="86">
        <v>42</v>
      </c>
      <c r="K599" s="86" t="s">
        <v>1693</v>
      </c>
      <c r="L599" s="86" t="s">
        <v>1693</v>
      </c>
      <c r="M599" s="94">
        <v>6204430000</v>
      </c>
      <c r="N599" s="7"/>
      <c r="O599" s="86" t="s">
        <v>94</v>
      </c>
      <c r="P599">
        <v>1</v>
      </c>
    </row>
    <row r="600" spans="1:16" customFormat="1" ht="15.75">
      <c r="A600" s="84" t="str">
        <f>LEFT(M600,4)</f>
        <v>6204</v>
      </c>
      <c r="B600" s="84" t="str">
        <f t="shared" si="9"/>
        <v>ПЛАТЬЕ Без товарного знака жен. Артикул 621 цвет ЧЕРНЫЙ р. 48</v>
      </c>
      <c r="C600" s="69" t="s">
        <v>1690</v>
      </c>
      <c r="D600" s="69" t="s">
        <v>55</v>
      </c>
      <c r="E600" s="91" t="s">
        <v>1902</v>
      </c>
      <c r="F600" s="69" t="s">
        <v>1691</v>
      </c>
      <c r="G600" s="86" t="s">
        <v>330</v>
      </c>
      <c r="H600" s="69" t="s">
        <v>1692</v>
      </c>
      <c r="I600" s="69" t="s">
        <v>59</v>
      </c>
      <c r="J600" s="86">
        <v>48</v>
      </c>
      <c r="K600" s="86" t="s">
        <v>1693</v>
      </c>
      <c r="L600" s="86" t="s">
        <v>1693</v>
      </c>
      <c r="M600" s="94">
        <v>6204430000</v>
      </c>
      <c r="N600" s="7"/>
      <c r="O600" s="86" t="s">
        <v>94</v>
      </c>
      <c r="P600">
        <v>1</v>
      </c>
    </row>
    <row r="601" spans="1:16" customFormat="1" ht="15.75">
      <c r="A601" s="84" t="str">
        <f>LEFT(M601,4)</f>
        <v>6204</v>
      </c>
      <c r="B601" s="84" t="str">
        <f t="shared" si="9"/>
        <v>ПЛАТЬЕ Без товарного знака жен. Артикул 621 цвет ЧЕРНЫЙ р. 60</v>
      </c>
      <c r="C601" s="69" t="s">
        <v>1690</v>
      </c>
      <c r="D601" s="69" t="s">
        <v>55</v>
      </c>
      <c r="E601" s="91" t="s">
        <v>1902</v>
      </c>
      <c r="F601" s="69" t="s">
        <v>1691</v>
      </c>
      <c r="G601" s="86" t="s">
        <v>330</v>
      </c>
      <c r="H601" s="69" t="s">
        <v>1692</v>
      </c>
      <c r="I601" s="69" t="s">
        <v>59</v>
      </c>
      <c r="J601" s="86">
        <v>60</v>
      </c>
      <c r="K601" s="86" t="s">
        <v>1693</v>
      </c>
      <c r="L601" s="86" t="s">
        <v>1693</v>
      </c>
      <c r="M601" s="94">
        <v>6204430000</v>
      </c>
      <c r="N601" s="7"/>
      <c r="O601" s="86" t="s">
        <v>94</v>
      </c>
      <c r="P601">
        <v>1</v>
      </c>
    </row>
    <row r="602" spans="1:16" customFormat="1" ht="15.75">
      <c r="A602" s="84" t="str">
        <f>LEFT(M602,4)</f>
        <v>6204</v>
      </c>
      <c r="B602" s="84" t="str">
        <f t="shared" si="9"/>
        <v>ПЛАТЬЕ Без товарного знака жен. Артикул 621 цвет ЧЕРНЫЙ р. 62</v>
      </c>
      <c r="C602" s="69" t="s">
        <v>1690</v>
      </c>
      <c r="D602" s="69" t="s">
        <v>55</v>
      </c>
      <c r="E602" s="91" t="s">
        <v>1902</v>
      </c>
      <c r="F602" s="69" t="s">
        <v>1691</v>
      </c>
      <c r="G602" s="86" t="s">
        <v>330</v>
      </c>
      <c r="H602" s="69" t="s">
        <v>1692</v>
      </c>
      <c r="I602" s="69" t="s">
        <v>59</v>
      </c>
      <c r="J602" s="86">
        <v>62</v>
      </c>
      <c r="K602" s="86" t="s">
        <v>1693</v>
      </c>
      <c r="L602" s="86" t="s">
        <v>1693</v>
      </c>
      <c r="M602" s="94">
        <v>6204430000</v>
      </c>
      <c r="N602" s="7"/>
      <c r="O602" s="86" t="s">
        <v>94</v>
      </c>
      <c r="P602">
        <v>1</v>
      </c>
    </row>
    <row r="603" spans="1:16" customFormat="1" ht="15.75">
      <c r="A603" s="84" t="str">
        <f>LEFT(M603,4)</f>
        <v>6204</v>
      </c>
      <c r="B603" s="84" t="str">
        <f t="shared" si="9"/>
        <v>ПЛАТЬЕ Без товарного знака жен. Артикул 7464 цвет СИНИЙ р. 46</v>
      </c>
      <c r="C603" s="69" t="s">
        <v>1690</v>
      </c>
      <c r="D603" s="69" t="s">
        <v>55</v>
      </c>
      <c r="E603" s="91" t="s">
        <v>1811</v>
      </c>
      <c r="F603" s="69" t="s">
        <v>1691</v>
      </c>
      <c r="G603" s="86" t="s">
        <v>279</v>
      </c>
      <c r="H603" s="69" t="s">
        <v>1692</v>
      </c>
      <c r="I603" s="69" t="s">
        <v>59</v>
      </c>
      <c r="J603" s="86">
        <v>46</v>
      </c>
      <c r="K603" s="86" t="s">
        <v>1693</v>
      </c>
      <c r="L603" s="86" t="s">
        <v>1693</v>
      </c>
      <c r="M603" s="94">
        <v>6204430000</v>
      </c>
      <c r="N603" s="7"/>
      <c r="O603" s="86" t="s">
        <v>94</v>
      </c>
      <c r="P603">
        <v>1</v>
      </c>
    </row>
    <row r="604" spans="1:16" customFormat="1" ht="15.75">
      <c r="A604" s="84" t="str">
        <f>LEFT(M604,4)</f>
        <v>6204</v>
      </c>
      <c r="B604" s="84" t="str">
        <f t="shared" si="9"/>
        <v>ПЛАТЬЕ Без товарного знака жен. Артикул 7464 цвет СИНИЙ р. 48</v>
      </c>
      <c r="C604" s="69" t="s">
        <v>1690</v>
      </c>
      <c r="D604" s="69" t="s">
        <v>55</v>
      </c>
      <c r="E604" s="91" t="s">
        <v>1811</v>
      </c>
      <c r="F604" s="69" t="s">
        <v>1691</v>
      </c>
      <c r="G604" s="86" t="s">
        <v>279</v>
      </c>
      <c r="H604" s="69" t="s">
        <v>1692</v>
      </c>
      <c r="I604" s="69" t="s">
        <v>59</v>
      </c>
      <c r="J604" s="86">
        <v>48</v>
      </c>
      <c r="K604" s="86" t="s">
        <v>1693</v>
      </c>
      <c r="L604" s="86" t="s">
        <v>1693</v>
      </c>
      <c r="M604" s="94">
        <v>6204430000</v>
      </c>
      <c r="N604" s="7"/>
      <c r="O604" s="86" t="s">
        <v>94</v>
      </c>
      <c r="P604">
        <v>1</v>
      </c>
    </row>
    <row r="605" spans="1:16" customFormat="1" ht="15.75">
      <c r="A605" s="84" t="str">
        <f>LEFT(M605,4)</f>
        <v>6204</v>
      </c>
      <c r="B605" s="84" t="str">
        <f t="shared" si="9"/>
        <v>ПЛАТЬЕ Без товарного знака жен. Артикул 7464 цвет СИНИЙ р. 56</v>
      </c>
      <c r="C605" s="69" t="s">
        <v>1690</v>
      </c>
      <c r="D605" s="69" t="s">
        <v>55</v>
      </c>
      <c r="E605" s="91" t="s">
        <v>1811</v>
      </c>
      <c r="F605" s="69" t="s">
        <v>1691</v>
      </c>
      <c r="G605" s="86" t="s">
        <v>279</v>
      </c>
      <c r="H605" s="69" t="s">
        <v>1692</v>
      </c>
      <c r="I605" s="69" t="s">
        <v>59</v>
      </c>
      <c r="J605" s="86">
        <v>56</v>
      </c>
      <c r="K605" s="86" t="s">
        <v>1693</v>
      </c>
      <c r="L605" s="86" t="s">
        <v>1693</v>
      </c>
      <c r="M605" s="94">
        <v>6204430000</v>
      </c>
      <c r="N605" s="7"/>
      <c r="O605" s="86" t="s">
        <v>94</v>
      </c>
      <c r="P605">
        <v>1</v>
      </c>
    </row>
    <row r="606" spans="1:16" customFormat="1" ht="15.75">
      <c r="A606" s="84" t="str">
        <f>LEFT(M606,4)</f>
        <v>6204</v>
      </c>
      <c r="B606" s="84" t="str">
        <f t="shared" si="9"/>
        <v>ПЛАТЬЕ Без товарного знака жен. Артикул 7183561 цвет ЧЕРНЫЙ р. 56</v>
      </c>
      <c r="C606" s="69" t="s">
        <v>1690</v>
      </c>
      <c r="D606" s="69" t="s">
        <v>55</v>
      </c>
      <c r="E606" s="91" t="s">
        <v>1903</v>
      </c>
      <c r="F606" s="69" t="s">
        <v>1691</v>
      </c>
      <c r="G606" s="86" t="s">
        <v>330</v>
      </c>
      <c r="H606" s="69" t="s">
        <v>1692</v>
      </c>
      <c r="I606" s="69" t="s">
        <v>59</v>
      </c>
      <c r="J606" s="86">
        <v>56</v>
      </c>
      <c r="K606" s="86" t="s">
        <v>1693</v>
      </c>
      <c r="L606" s="86" t="s">
        <v>1693</v>
      </c>
      <c r="M606" s="94">
        <v>6204430000</v>
      </c>
      <c r="N606" s="7"/>
      <c r="O606" s="86" t="s">
        <v>63</v>
      </c>
      <c r="P606">
        <v>1</v>
      </c>
    </row>
    <row r="607" spans="1:16" customFormat="1" ht="15.75">
      <c r="A607" s="84" t="str">
        <f>LEFT(M607,4)</f>
        <v>6204</v>
      </c>
      <c r="B607" s="84" t="str">
        <f t="shared" si="9"/>
        <v>ПЛАТЬЕ Без товарного знака жен. Артикул 3523 цвет МЯТНЫЙ р. 62</v>
      </c>
      <c r="C607" s="69" t="s">
        <v>1690</v>
      </c>
      <c r="D607" s="69" t="s">
        <v>55</v>
      </c>
      <c r="E607" s="91" t="s">
        <v>1904</v>
      </c>
      <c r="F607" s="69" t="s">
        <v>1691</v>
      </c>
      <c r="G607" s="86" t="s">
        <v>205</v>
      </c>
      <c r="H607" s="69" t="s">
        <v>1692</v>
      </c>
      <c r="I607" s="69" t="s">
        <v>59</v>
      </c>
      <c r="J607" s="86">
        <v>62</v>
      </c>
      <c r="K607" s="86" t="s">
        <v>1693</v>
      </c>
      <c r="L607" s="86" t="s">
        <v>1693</v>
      </c>
      <c r="M607" s="94">
        <v>6204430000</v>
      </c>
      <c r="N607" s="7"/>
      <c r="O607" s="86" t="s">
        <v>59</v>
      </c>
      <c r="P607">
        <v>1</v>
      </c>
    </row>
    <row r="608" spans="1:16" customFormat="1" ht="15.75">
      <c r="A608" s="84" t="str">
        <f>LEFT(M608,4)</f>
        <v>6204</v>
      </c>
      <c r="B608" s="84" t="str">
        <f t="shared" si="9"/>
        <v>ПЛАТЬЕ Без товарного знака жен. Артикул 7059 цвет СИНИЙ р. 58</v>
      </c>
      <c r="C608" s="69" t="s">
        <v>1690</v>
      </c>
      <c r="D608" s="69" t="s">
        <v>55</v>
      </c>
      <c r="E608" s="91" t="s">
        <v>1905</v>
      </c>
      <c r="F608" s="69" t="s">
        <v>1691</v>
      </c>
      <c r="G608" s="86" t="s">
        <v>279</v>
      </c>
      <c r="H608" s="69" t="s">
        <v>1692</v>
      </c>
      <c r="I608" s="69" t="s">
        <v>59</v>
      </c>
      <c r="J608" s="86">
        <v>58</v>
      </c>
      <c r="K608" s="86" t="s">
        <v>1693</v>
      </c>
      <c r="L608" s="86" t="s">
        <v>1693</v>
      </c>
      <c r="M608" s="94">
        <v>6204430000</v>
      </c>
      <c r="N608" s="7"/>
      <c r="O608" s="86" t="s">
        <v>94</v>
      </c>
      <c r="P608">
        <v>1</v>
      </c>
    </row>
    <row r="609" spans="1:16" customFormat="1" ht="15.75">
      <c r="A609" s="84" t="str">
        <f>LEFT(M609,4)</f>
        <v>6204</v>
      </c>
      <c r="B609" s="84" t="str">
        <f t="shared" si="9"/>
        <v>ПЛАТЬЕ Без товарного знака жен. Артикул 7059 цвет СИНИЙ р. 60</v>
      </c>
      <c r="C609" s="69" t="s">
        <v>1690</v>
      </c>
      <c r="D609" s="69" t="s">
        <v>55</v>
      </c>
      <c r="E609" s="91" t="s">
        <v>1905</v>
      </c>
      <c r="F609" s="69" t="s">
        <v>1691</v>
      </c>
      <c r="G609" s="86" t="s">
        <v>279</v>
      </c>
      <c r="H609" s="69" t="s">
        <v>1692</v>
      </c>
      <c r="I609" s="69" t="s">
        <v>59</v>
      </c>
      <c r="J609" s="86">
        <v>60</v>
      </c>
      <c r="K609" s="86" t="s">
        <v>1693</v>
      </c>
      <c r="L609" s="86" t="s">
        <v>1693</v>
      </c>
      <c r="M609" s="94">
        <v>6204430000</v>
      </c>
      <c r="N609" s="7"/>
      <c r="O609" s="86" t="s">
        <v>94</v>
      </c>
      <c r="P609">
        <v>1</v>
      </c>
    </row>
    <row r="610" spans="1:16" customFormat="1" ht="15.75">
      <c r="A610" s="84" t="str">
        <f>LEFT(M610,4)</f>
        <v>6204</v>
      </c>
      <c r="B610" s="84" t="str">
        <f t="shared" si="9"/>
        <v>ПЛАТЬЕ Без товарного знака жен. Артикул 7059 цвет СИНИЙ р. 62</v>
      </c>
      <c r="C610" s="69" t="s">
        <v>1690</v>
      </c>
      <c r="D610" s="69" t="s">
        <v>55</v>
      </c>
      <c r="E610" s="91" t="s">
        <v>1905</v>
      </c>
      <c r="F610" s="69" t="s">
        <v>1691</v>
      </c>
      <c r="G610" s="86" t="s">
        <v>279</v>
      </c>
      <c r="H610" s="69" t="s">
        <v>1692</v>
      </c>
      <c r="I610" s="69" t="s">
        <v>59</v>
      </c>
      <c r="J610" s="86">
        <v>62</v>
      </c>
      <c r="K610" s="86" t="s">
        <v>1693</v>
      </c>
      <c r="L610" s="86" t="s">
        <v>1693</v>
      </c>
      <c r="M610" s="94">
        <v>6204430000</v>
      </c>
      <c r="N610" s="7"/>
      <c r="O610" s="86" t="s">
        <v>94</v>
      </c>
      <c r="P610">
        <v>1</v>
      </c>
    </row>
    <row r="611" spans="1:16" customFormat="1" ht="15.75">
      <c r="A611" s="84" t="str">
        <f>LEFT(M611,4)</f>
        <v>6204</v>
      </c>
      <c r="B611" s="84" t="str">
        <f t="shared" si="9"/>
        <v>ПЛАТЬЕ Без товарного знака жен. Артикул 1273 цвет ГОЛУБОЙ р. 58</v>
      </c>
      <c r="C611" s="69" t="s">
        <v>1690</v>
      </c>
      <c r="D611" s="69" t="s">
        <v>55</v>
      </c>
      <c r="E611" s="91" t="s">
        <v>1906</v>
      </c>
      <c r="F611" s="69" t="s">
        <v>1691</v>
      </c>
      <c r="G611" s="86" t="s">
        <v>141</v>
      </c>
      <c r="H611" s="69" t="s">
        <v>1692</v>
      </c>
      <c r="I611" s="69" t="s">
        <v>59</v>
      </c>
      <c r="J611" s="86">
        <v>58</v>
      </c>
      <c r="K611" s="86" t="s">
        <v>1693</v>
      </c>
      <c r="L611" s="86" t="s">
        <v>1693</v>
      </c>
      <c r="M611" s="94">
        <v>6204430000</v>
      </c>
      <c r="N611" s="7"/>
      <c r="O611" s="86" t="s">
        <v>94</v>
      </c>
      <c r="P611">
        <v>1</v>
      </c>
    </row>
    <row r="612" spans="1:16" customFormat="1" ht="15.75">
      <c r="A612" s="84" t="str">
        <f>LEFT(M612,4)</f>
        <v>6204</v>
      </c>
      <c r="B612" s="84" t="str">
        <f t="shared" si="9"/>
        <v>ПЛАТЬЕ Без товарного знака жен. Артикул 0137542 цвет СЕРЫЙ р. 44</v>
      </c>
      <c r="C612" s="69" t="s">
        <v>1690</v>
      </c>
      <c r="D612" s="69" t="s">
        <v>55</v>
      </c>
      <c r="E612" s="91" t="s">
        <v>1907</v>
      </c>
      <c r="F612" s="69" t="s">
        <v>1691</v>
      </c>
      <c r="G612" s="86" t="s">
        <v>273</v>
      </c>
      <c r="H612" s="69" t="s">
        <v>1692</v>
      </c>
      <c r="I612" s="69" t="s">
        <v>59</v>
      </c>
      <c r="J612" s="86">
        <v>44</v>
      </c>
      <c r="K612" s="86" t="s">
        <v>1861</v>
      </c>
      <c r="L612" s="86" t="s">
        <v>1861</v>
      </c>
      <c r="M612" s="94">
        <v>6204440000</v>
      </c>
      <c r="N612" s="7"/>
      <c r="O612" s="86" t="s">
        <v>59</v>
      </c>
      <c r="P612">
        <v>1</v>
      </c>
    </row>
    <row r="613" spans="1:16" customFormat="1" ht="15.75">
      <c r="A613" s="84" t="str">
        <f>LEFT(M613,4)</f>
        <v>6204</v>
      </c>
      <c r="B613" s="84" t="str">
        <f t="shared" si="9"/>
        <v>ПЛАТЬЕ Без товарного знака жен. Артикул 4865 цвет РАЗНОЦВЕТНЫЙ р. S</v>
      </c>
      <c r="C613" s="69" t="s">
        <v>1690</v>
      </c>
      <c r="D613" s="69" t="s">
        <v>55</v>
      </c>
      <c r="E613" s="91" t="s">
        <v>1908</v>
      </c>
      <c r="F613" s="69" t="s">
        <v>1691</v>
      </c>
      <c r="G613" s="86" t="s">
        <v>229</v>
      </c>
      <c r="H613" s="69" t="s">
        <v>1692</v>
      </c>
      <c r="I613" s="69" t="s">
        <v>1630</v>
      </c>
      <c r="J613" s="86" t="s">
        <v>1671</v>
      </c>
      <c r="K613" s="86" t="s">
        <v>1693</v>
      </c>
      <c r="L613" s="86" t="s">
        <v>1693</v>
      </c>
      <c r="M613" s="94">
        <v>6204430000</v>
      </c>
      <c r="N613" s="7"/>
      <c r="O613" s="86" t="s">
        <v>94</v>
      </c>
      <c r="P613">
        <v>1</v>
      </c>
    </row>
    <row r="614" spans="1:16" customFormat="1" ht="15.75">
      <c r="A614" s="84" t="str">
        <f>LEFT(M614,4)</f>
        <v>6204</v>
      </c>
      <c r="B614" s="84" t="str">
        <f t="shared" si="9"/>
        <v>ПЛАТЬЕ Без товарного знака жен. Артикул 0125342 цвет СВЕТЛО-СИРЕНЕВЫЙ р. 42</v>
      </c>
      <c r="C614" s="69" t="s">
        <v>1690</v>
      </c>
      <c r="D614" s="69" t="s">
        <v>55</v>
      </c>
      <c r="E614" s="91" t="s">
        <v>1909</v>
      </c>
      <c r="F614" s="69" t="s">
        <v>1691</v>
      </c>
      <c r="G614" s="86" t="s">
        <v>1910</v>
      </c>
      <c r="H614" s="69" t="s">
        <v>1692</v>
      </c>
      <c r="I614" s="69" t="s">
        <v>59</v>
      </c>
      <c r="J614" s="86">
        <v>42</v>
      </c>
      <c r="K614" s="86" t="s">
        <v>1753</v>
      </c>
      <c r="L614" s="86" t="s">
        <v>1753</v>
      </c>
      <c r="M614" s="94">
        <v>6204420000</v>
      </c>
      <c r="N614" s="7"/>
      <c r="O614" s="86" t="s">
        <v>59</v>
      </c>
      <c r="P614">
        <v>1</v>
      </c>
    </row>
    <row r="615" spans="1:16" customFormat="1" ht="15.75">
      <c r="A615" s="84" t="str">
        <f>LEFT(M615,4)</f>
        <v>6204</v>
      </c>
      <c r="B615" s="84" t="str">
        <f t="shared" si="9"/>
        <v>ПЛАТЬЕ Без товарного знака жен. Артикул 1727 цвет КРАСНЫЙ р. 56</v>
      </c>
      <c r="C615" s="69" t="s">
        <v>1690</v>
      </c>
      <c r="D615" s="69" t="s">
        <v>55</v>
      </c>
      <c r="E615" s="91" t="s">
        <v>1911</v>
      </c>
      <c r="F615" s="69" t="s">
        <v>1691</v>
      </c>
      <c r="G615" s="86" t="s">
        <v>180</v>
      </c>
      <c r="H615" s="69" t="s">
        <v>1692</v>
      </c>
      <c r="I615" s="69" t="s">
        <v>59</v>
      </c>
      <c r="J615" s="86">
        <v>56</v>
      </c>
      <c r="K615" s="86" t="s">
        <v>1693</v>
      </c>
      <c r="L615" s="86" t="s">
        <v>1693</v>
      </c>
      <c r="M615" s="94">
        <v>6204430000</v>
      </c>
      <c r="N615" s="7"/>
      <c r="O615" s="86" t="s">
        <v>94</v>
      </c>
      <c r="P615">
        <v>1</v>
      </c>
    </row>
    <row r="616" spans="1:16" customFormat="1" ht="15.75">
      <c r="A616" s="84" t="str">
        <f>LEFT(M616,4)</f>
        <v>6204</v>
      </c>
      <c r="B616" s="84" t="str">
        <f t="shared" si="9"/>
        <v>ПЛАТЬЕ Без товарного знака жен. Артикул 055 цвет ГОЛУБОЙ р. 48</v>
      </c>
      <c r="C616" s="69" t="s">
        <v>1690</v>
      </c>
      <c r="D616" s="69" t="s">
        <v>55</v>
      </c>
      <c r="E616" s="91" t="s">
        <v>1912</v>
      </c>
      <c r="F616" s="69" t="s">
        <v>1691</v>
      </c>
      <c r="G616" s="86" t="s">
        <v>141</v>
      </c>
      <c r="H616" s="69" t="s">
        <v>1692</v>
      </c>
      <c r="I616" s="69" t="s">
        <v>59</v>
      </c>
      <c r="J616" s="86">
        <v>48</v>
      </c>
      <c r="K616" s="86" t="s">
        <v>1693</v>
      </c>
      <c r="L616" s="86" t="s">
        <v>1693</v>
      </c>
      <c r="M616" s="94">
        <v>6204430000</v>
      </c>
      <c r="N616" s="7"/>
      <c r="O616" s="86" t="s">
        <v>94</v>
      </c>
      <c r="P616">
        <v>1</v>
      </c>
    </row>
    <row r="617" spans="1:16" customFormat="1" ht="15.75">
      <c r="A617" s="84" t="str">
        <f>LEFT(M617,4)</f>
        <v>6204</v>
      </c>
      <c r="B617" s="84" t="str">
        <f t="shared" si="9"/>
        <v>ПЛАТЬЕ Без товарного знака жен. Артикул 055 цвет БЕЖЕВЫЙ р. 46</v>
      </c>
      <c r="C617" s="69" t="s">
        <v>1690</v>
      </c>
      <c r="D617" s="69" t="s">
        <v>55</v>
      </c>
      <c r="E617" s="91" t="s">
        <v>1912</v>
      </c>
      <c r="F617" s="69" t="s">
        <v>1691</v>
      </c>
      <c r="G617" s="86" t="s">
        <v>57</v>
      </c>
      <c r="H617" s="69" t="s">
        <v>1692</v>
      </c>
      <c r="I617" s="69" t="s">
        <v>59</v>
      </c>
      <c r="J617" s="86">
        <v>46</v>
      </c>
      <c r="K617" s="86" t="s">
        <v>1693</v>
      </c>
      <c r="L617" s="86" t="s">
        <v>1693</v>
      </c>
      <c r="M617" s="94">
        <v>6204430000</v>
      </c>
      <c r="N617" s="7"/>
      <c r="O617" s="86" t="s">
        <v>94</v>
      </c>
      <c r="P617">
        <v>1</v>
      </c>
    </row>
    <row r="618" spans="1:16" customFormat="1" ht="15.75">
      <c r="A618" s="84" t="str">
        <f>LEFT(M618,4)</f>
        <v>6204</v>
      </c>
      <c r="B618" s="84" t="str">
        <f t="shared" si="9"/>
        <v>ПЛАТЬЕ Без товарного знака жен. Артикул 5922 цвет ГОЛУБОЙ р. 64</v>
      </c>
      <c r="C618" s="69" t="s">
        <v>1690</v>
      </c>
      <c r="D618" s="69" t="s">
        <v>55</v>
      </c>
      <c r="E618" s="91" t="s">
        <v>1913</v>
      </c>
      <c r="F618" s="69" t="s">
        <v>1691</v>
      </c>
      <c r="G618" s="86" t="s">
        <v>141</v>
      </c>
      <c r="H618" s="69" t="s">
        <v>1692</v>
      </c>
      <c r="I618" s="69" t="s">
        <v>59</v>
      </c>
      <c r="J618" s="86">
        <v>64</v>
      </c>
      <c r="K618" s="86" t="s">
        <v>1914</v>
      </c>
      <c r="L618" s="86" t="s">
        <v>1914</v>
      </c>
      <c r="M618" s="94">
        <v>6204499000</v>
      </c>
      <c r="N618" s="7"/>
      <c r="O618" s="86" t="s">
        <v>94</v>
      </c>
      <c r="P618">
        <v>1</v>
      </c>
    </row>
    <row r="619" spans="1:16" customFormat="1" ht="15.75">
      <c r="A619" s="84" t="str">
        <f>LEFT(M619,4)</f>
        <v>6204</v>
      </c>
      <c r="B619" s="84" t="str">
        <f t="shared" si="9"/>
        <v>ПЛАТЬЕ Без товарного знака жен. Артикул 5922 цвет ГОЛУБОЙ р. 66</v>
      </c>
      <c r="C619" s="69" t="s">
        <v>1690</v>
      </c>
      <c r="D619" s="69" t="s">
        <v>55</v>
      </c>
      <c r="E619" s="91" t="s">
        <v>1913</v>
      </c>
      <c r="F619" s="69" t="s">
        <v>1691</v>
      </c>
      <c r="G619" s="86" t="s">
        <v>141</v>
      </c>
      <c r="H619" s="69" t="s">
        <v>1692</v>
      </c>
      <c r="I619" s="69" t="s">
        <v>59</v>
      </c>
      <c r="J619" s="86">
        <v>66</v>
      </c>
      <c r="K619" s="86" t="s">
        <v>1914</v>
      </c>
      <c r="L619" s="86" t="s">
        <v>1914</v>
      </c>
      <c r="M619" s="94">
        <v>6204499000</v>
      </c>
      <c r="N619" s="7"/>
      <c r="O619" s="86" t="s">
        <v>94</v>
      </c>
      <c r="P619">
        <v>1</v>
      </c>
    </row>
    <row r="620" spans="1:16" customFormat="1" ht="15.75">
      <c r="A620" s="84" t="str">
        <f>LEFT(M620,4)</f>
        <v>6204</v>
      </c>
      <c r="B620" s="84" t="str">
        <f t="shared" si="9"/>
        <v>ПЛАТЬЕ Без товарного знака жен. Артикул 5922 цвет ЗЕЛЕНЫЙ р. 64</v>
      </c>
      <c r="C620" s="69" t="s">
        <v>1690</v>
      </c>
      <c r="D620" s="69" t="s">
        <v>55</v>
      </c>
      <c r="E620" s="91" t="s">
        <v>1913</v>
      </c>
      <c r="F620" s="69" t="s">
        <v>1691</v>
      </c>
      <c r="G620" s="86" t="s">
        <v>345</v>
      </c>
      <c r="H620" s="69" t="s">
        <v>1692</v>
      </c>
      <c r="I620" s="69" t="s">
        <v>59</v>
      </c>
      <c r="J620" s="86">
        <v>64</v>
      </c>
      <c r="K620" s="86" t="s">
        <v>1914</v>
      </c>
      <c r="L620" s="86" t="s">
        <v>1914</v>
      </c>
      <c r="M620" s="94">
        <v>6204499000</v>
      </c>
      <c r="N620" s="7"/>
      <c r="O620" s="86" t="s">
        <v>94</v>
      </c>
      <c r="P620">
        <v>1</v>
      </c>
    </row>
    <row r="621" spans="1:16" customFormat="1" ht="15.75">
      <c r="A621" s="84" t="str">
        <f>LEFT(M621,4)</f>
        <v>6204</v>
      </c>
      <c r="B621" s="84" t="str">
        <f t="shared" si="9"/>
        <v>ПЛАТЬЕ Без товарного знака жен. Артикул 5922 цвет ЗЕЛЕНЫЙ р. 66</v>
      </c>
      <c r="C621" s="69" t="s">
        <v>1690</v>
      </c>
      <c r="D621" s="69" t="s">
        <v>55</v>
      </c>
      <c r="E621" s="91" t="s">
        <v>1913</v>
      </c>
      <c r="F621" s="69" t="s">
        <v>1691</v>
      </c>
      <c r="G621" s="86" t="s">
        <v>345</v>
      </c>
      <c r="H621" s="69" t="s">
        <v>1692</v>
      </c>
      <c r="I621" s="69" t="s">
        <v>59</v>
      </c>
      <c r="J621" s="86">
        <v>66</v>
      </c>
      <c r="K621" s="86" t="s">
        <v>1914</v>
      </c>
      <c r="L621" s="86" t="s">
        <v>1914</v>
      </c>
      <c r="M621" s="94">
        <v>6204499000</v>
      </c>
      <c r="N621" s="7"/>
      <c r="O621" s="86" t="s">
        <v>94</v>
      </c>
      <c r="P621">
        <v>1</v>
      </c>
    </row>
    <row r="622" spans="1:16" customFormat="1" ht="15.75">
      <c r="A622" s="84" t="str">
        <f>LEFT(M622,4)</f>
        <v>6204</v>
      </c>
      <c r="B622" s="84" t="str">
        <f t="shared" si="9"/>
        <v>ПЛАТЬЕ Без товарного знака жен. Артикул 56656 цвет РАЗНОЦВЕТНЫЙ р. 56</v>
      </c>
      <c r="C622" s="69" t="s">
        <v>1690</v>
      </c>
      <c r="D622" s="69" t="s">
        <v>55</v>
      </c>
      <c r="E622" s="91" t="s">
        <v>1915</v>
      </c>
      <c r="F622" s="69" t="s">
        <v>1691</v>
      </c>
      <c r="G622" s="86" t="s">
        <v>229</v>
      </c>
      <c r="H622" s="69" t="s">
        <v>1692</v>
      </c>
      <c r="I622" s="69" t="s">
        <v>59</v>
      </c>
      <c r="J622" s="86">
        <v>56</v>
      </c>
      <c r="K622" s="86" t="s">
        <v>1693</v>
      </c>
      <c r="L622" s="86" t="s">
        <v>1693</v>
      </c>
      <c r="M622" s="94">
        <v>6204430000</v>
      </c>
      <c r="N622" s="7"/>
      <c r="O622" s="86" t="s">
        <v>94</v>
      </c>
      <c r="P622">
        <v>1</v>
      </c>
    </row>
    <row r="623" spans="1:16" customFormat="1" ht="15.75">
      <c r="A623" s="84" t="str">
        <f>LEFT(M623,4)</f>
        <v>6204</v>
      </c>
      <c r="B623" s="84" t="str">
        <f t="shared" si="9"/>
        <v>ПЛАТЬЕ Без товарного знака жен. Артикул 538 цвет РАЗНОЦВЕТНЫЙ р. 56</v>
      </c>
      <c r="C623" s="69" t="s">
        <v>1690</v>
      </c>
      <c r="D623" s="69" t="s">
        <v>55</v>
      </c>
      <c r="E623" s="91" t="s">
        <v>1916</v>
      </c>
      <c r="F623" s="69" t="s">
        <v>1691</v>
      </c>
      <c r="G623" s="86" t="s">
        <v>229</v>
      </c>
      <c r="H623" s="69" t="s">
        <v>1692</v>
      </c>
      <c r="I623" s="69" t="s">
        <v>59</v>
      </c>
      <c r="J623" s="86">
        <v>56</v>
      </c>
      <c r="K623" s="86" t="s">
        <v>1693</v>
      </c>
      <c r="L623" s="86" t="s">
        <v>1693</v>
      </c>
      <c r="M623" s="94">
        <v>6204430000</v>
      </c>
      <c r="N623" s="7"/>
      <c r="O623" s="86" t="s">
        <v>94</v>
      </c>
      <c r="P623">
        <v>1</v>
      </c>
    </row>
    <row r="624" spans="1:16" customFormat="1" ht="15.75">
      <c r="A624" s="84" t="str">
        <f>LEFT(M624,4)</f>
        <v>6204</v>
      </c>
      <c r="B624" s="84" t="str">
        <f t="shared" si="9"/>
        <v>ПЛАТЬЕ Без товарного знака жен. Артикул 6087 цвет РАЗНОЦВЕТНЫЙ р. 48</v>
      </c>
      <c r="C624" s="69" t="s">
        <v>1690</v>
      </c>
      <c r="D624" s="69" t="s">
        <v>55</v>
      </c>
      <c r="E624" s="91" t="s">
        <v>1917</v>
      </c>
      <c r="F624" s="69" t="s">
        <v>1691</v>
      </c>
      <c r="G624" s="86" t="s">
        <v>229</v>
      </c>
      <c r="H624" s="69" t="s">
        <v>1692</v>
      </c>
      <c r="I624" s="69" t="s">
        <v>59</v>
      </c>
      <c r="J624" s="86">
        <v>48</v>
      </c>
      <c r="K624" s="86" t="s">
        <v>1693</v>
      </c>
      <c r="L624" s="86" t="s">
        <v>1693</v>
      </c>
      <c r="M624" s="94">
        <v>6204430000</v>
      </c>
      <c r="N624" s="7"/>
      <c r="O624" s="86" t="s">
        <v>94</v>
      </c>
      <c r="P624">
        <v>1</v>
      </c>
    </row>
    <row r="625" spans="1:16" customFormat="1" ht="15.75">
      <c r="A625" s="84" t="str">
        <f>LEFT(M625,4)</f>
        <v>6204</v>
      </c>
      <c r="B625" s="84" t="str">
        <f t="shared" si="9"/>
        <v>ПЛАТЬЕ Без товарного знака жен. Артикул 6087 цвет РАЗНОЦВЕТНЫЙ р. 50</v>
      </c>
      <c r="C625" s="69" t="s">
        <v>1690</v>
      </c>
      <c r="D625" s="69" t="s">
        <v>55</v>
      </c>
      <c r="E625" s="91" t="s">
        <v>1917</v>
      </c>
      <c r="F625" s="69" t="s">
        <v>1691</v>
      </c>
      <c r="G625" s="86" t="s">
        <v>229</v>
      </c>
      <c r="H625" s="69" t="s">
        <v>1692</v>
      </c>
      <c r="I625" s="69" t="s">
        <v>59</v>
      </c>
      <c r="J625" s="86">
        <v>50</v>
      </c>
      <c r="K625" s="86" t="s">
        <v>1693</v>
      </c>
      <c r="L625" s="86" t="s">
        <v>1693</v>
      </c>
      <c r="M625" s="94">
        <v>6204430000</v>
      </c>
      <c r="N625" s="7"/>
      <c r="O625" s="86" t="s">
        <v>94</v>
      </c>
      <c r="P625">
        <v>1</v>
      </c>
    </row>
    <row r="626" spans="1:16" customFormat="1" ht="15.75">
      <c r="A626" s="84" t="str">
        <f>LEFT(M626,4)</f>
        <v>6204</v>
      </c>
      <c r="B626" s="84" t="str">
        <f t="shared" si="9"/>
        <v>ПЛАТЬЕ Без товарного знака жен. Артикул 7175 цвет СИНИЙ р. 54</v>
      </c>
      <c r="C626" s="69" t="s">
        <v>1690</v>
      </c>
      <c r="D626" s="69" t="s">
        <v>55</v>
      </c>
      <c r="E626" s="91" t="s">
        <v>1918</v>
      </c>
      <c r="F626" s="69" t="s">
        <v>1691</v>
      </c>
      <c r="G626" s="86" t="s">
        <v>279</v>
      </c>
      <c r="H626" s="69" t="s">
        <v>1692</v>
      </c>
      <c r="I626" s="69" t="s">
        <v>59</v>
      </c>
      <c r="J626" s="86">
        <v>54</v>
      </c>
      <c r="K626" s="86" t="s">
        <v>1765</v>
      </c>
      <c r="L626" s="86" t="s">
        <v>1765</v>
      </c>
      <c r="M626" s="94">
        <v>6204440000</v>
      </c>
      <c r="N626" s="7"/>
      <c r="O626" s="86" t="s">
        <v>94</v>
      </c>
      <c r="P626">
        <v>1</v>
      </c>
    </row>
    <row r="627" spans="1:16" customFormat="1" ht="15.75">
      <c r="A627" s="84" t="str">
        <f>LEFT(M627,4)</f>
        <v>6204</v>
      </c>
      <c r="B627" s="84" t="str">
        <f t="shared" si="9"/>
        <v>ПЛАТЬЕ Без товарного знака жен. Артикул 7175 цвет СИНИЙ р. 58</v>
      </c>
      <c r="C627" s="69" t="s">
        <v>1690</v>
      </c>
      <c r="D627" s="69" t="s">
        <v>55</v>
      </c>
      <c r="E627" s="91" t="s">
        <v>1918</v>
      </c>
      <c r="F627" s="69" t="s">
        <v>1691</v>
      </c>
      <c r="G627" s="86" t="s">
        <v>279</v>
      </c>
      <c r="H627" s="69" t="s">
        <v>1692</v>
      </c>
      <c r="I627" s="69" t="s">
        <v>59</v>
      </c>
      <c r="J627" s="86">
        <v>58</v>
      </c>
      <c r="K627" s="86" t="s">
        <v>1765</v>
      </c>
      <c r="L627" s="86" t="s">
        <v>1765</v>
      </c>
      <c r="M627" s="94">
        <v>6204440000</v>
      </c>
      <c r="N627" s="7"/>
      <c r="O627" s="86" t="s">
        <v>94</v>
      </c>
      <c r="P627">
        <v>1</v>
      </c>
    </row>
    <row r="628" spans="1:16" customFormat="1" ht="15.75">
      <c r="A628" s="84" t="str">
        <f>LEFT(M628,4)</f>
        <v>6204</v>
      </c>
      <c r="B628" s="84" t="str">
        <f t="shared" si="9"/>
        <v>ПЛАТЬЕ Без товарного знака жен. Артикул 7219 цвет РАЗНОЦВЕТНЫЙ р. 52</v>
      </c>
      <c r="C628" s="69" t="s">
        <v>1690</v>
      </c>
      <c r="D628" s="69" t="s">
        <v>55</v>
      </c>
      <c r="E628" s="91" t="s">
        <v>1919</v>
      </c>
      <c r="F628" s="69" t="s">
        <v>1691</v>
      </c>
      <c r="G628" s="86" t="s">
        <v>229</v>
      </c>
      <c r="H628" s="69" t="s">
        <v>1692</v>
      </c>
      <c r="I628" s="69" t="s">
        <v>59</v>
      </c>
      <c r="J628" s="86">
        <v>52</v>
      </c>
      <c r="K628" s="86" t="s">
        <v>1755</v>
      </c>
      <c r="L628" s="86" t="s">
        <v>1755</v>
      </c>
      <c r="M628" s="94">
        <v>6204420000</v>
      </c>
      <c r="N628" s="7"/>
      <c r="O628" s="86" t="s">
        <v>94</v>
      </c>
      <c r="P628">
        <v>1</v>
      </c>
    </row>
    <row r="629" spans="1:16" customFormat="1" ht="15.75">
      <c r="A629" s="84" t="str">
        <f>LEFT(M629,4)</f>
        <v>6204</v>
      </c>
      <c r="B629" s="84" t="str">
        <f t="shared" si="9"/>
        <v>ПЛАТЬЕ Без товарного знака жен. Артикул 7219 цвет РАЗНОЦВЕТНЫЙ р. 54</v>
      </c>
      <c r="C629" s="69" t="s">
        <v>1690</v>
      </c>
      <c r="D629" s="69" t="s">
        <v>55</v>
      </c>
      <c r="E629" s="91" t="s">
        <v>1919</v>
      </c>
      <c r="F629" s="69" t="s">
        <v>1691</v>
      </c>
      <c r="G629" s="86" t="s">
        <v>229</v>
      </c>
      <c r="H629" s="69" t="s">
        <v>1692</v>
      </c>
      <c r="I629" s="69" t="s">
        <v>59</v>
      </c>
      <c r="J629" s="86">
        <v>54</v>
      </c>
      <c r="K629" s="86" t="s">
        <v>1755</v>
      </c>
      <c r="L629" s="86" t="s">
        <v>1755</v>
      </c>
      <c r="M629" s="94">
        <v>6204420000</v>
      </c>
      <c r="N629" s="7"/>
      <c r="O629" s="86" t="s">
        <v>94</v>
      </c>
      <c r="P629">
        <v>1</v>
      </c>
    </row>
    <row r="630" spans="1:16" customFormat="1" ht="15.75">
      <c r="A630" s="84" t="str">
        <f>LEFT(M630,4)</f>
        <v>6204</v>
      </c>
      <c r="B630" s="84" t="str">
        <f t="shared" si="9"/>
        <v>ПЛАТЬЕ Без товарного знака жен. Артикул 7219 цвет РАЗНОЦВЕТНЫЙ р. 56</v>
      </c>
      <c r="C630" s="69" t="s">
        <v>1690</v>
      </c>
      <c r="D630" s="69" t="s">
        <v>55</v>
      </c>
      <c r="E630" s="91" t="s">
        <v>1919</v>
      </c>
      <c r="F630" s="69" t="s">
        <v>1691</v>
      </c>
      <c r="G630" s="86" t="s">
        <v>229</v>
      </c>
      <c r="H630" s="69" t="s">
        <v>1692</v>
      </c>
      <c r="I630" s="69" t="s">
        <v>59</v>
      </c>
      <c r="J630" s="86">
        <v>56</v>
      </c>
      <c r="K630" s="86" t="s">
        <v>1755</v>
      </c>
      <c r="L630" s="86" t="s">
        <v>1755</v>
      </c>
      <c r="M630" s="94">
        <v>6204420000</v>
      </c>
      <c r="N630" s="7"/>
      <c r="O630" s="86" t="s">
        <v>94</v>
      </c>
      <c r="P630">
        <v>1</v>
      </c>
    </row>
    <row r="631" spans="1:16" customFormat="1" ht="15.75">
      <c r="A631" s="84" t="str">
        <f>LEFT(M631,4)</f>
        <v>6204</v>
      </c>
      <c r="B631" s="84" t="str">
        <f t="shared" si="9"/>
        <v>ПЛАТЬЕ Без товарного знака жен. Артикул 7219 цвет РАЗНОЦВЕТНЫЙ р. 58</v>
      </c>
      <c r="C631" s="69" t="s">
        <v>1690</v>
      </c>
      <c r="D631" s="69" t="s">
        <v>55</v>
      </c>
      <c r="E631" s="91" t="s">
        <v>1919</v>
      </c>
      <c r="F631" s="69" t="s">
        <v>1691</v>
      </c>
      <c r="G631" s="86" t="s">
        <v>229</v>
      </c>
      <c r="H631" s="69" t="s">
        <v>1692</v>
      </c>
      <c r="I631" s="69" t="s">
        <v>59</v>
      </c>
      <c r="J631" s="86">
        <v>58</v>
      </c>
      <c r="K631" s="86" t="s">
        <v>1755</v>
      </c>
      <c r="L631" s="86" t="s">
        <v>1755</v>
      </c>
      <c r="M631" s="94">
        <v>6204420000</v>
      </c>
      <c r="N631" s="7"/>
      <c r="O631" s="86" t="s">
        <v>94</v>
      </c>
      <c r="P631">
        <v>1</v>
      </c>
    </row>
    <row r="632" spans="1:16" customFormat="1" ht="15.75">
      <c r="A632" s="84" t="str">
        <f>LEFT(M632,4)</f>
        <v>6204</v>
      </c>
      <c r="B632" s="84" t="str">
        <f t="shared" si="9"/>
        <v>ПЛАТЬЕ Без товарного знака жен. Артикул 7219 цвет РАЗНОЦВЕТНЫЙ р. 62</v>
      </c>
      <c r="C632" s="69" t="s">
        <v>1690</v>
      </c>
      <c r="D632" s="69" t="s">
        <v>55</v>
      </c>
      <c r="E632" s="91" t="s">
        <v>1919</v>
      </c>
      <c r="F632" s="69" t="s">
        <v>1691</v>
      </c>
      <c r="G632" s="86" t="s">
        <v>229</v>
      </c>
      <c r="H632" s="69" t="s">
        <v>1692</v>
      </c>
      <c r="I632" s="69" t="s">
        <v>59</v>
      </c>
      <c r="J632" s="86">
        <v>62</v>
      </c>
      <c r="K632" s="86" t="s">
        <v>1755</v>
      </c>
      <c r="L632" s="86" t="s">
        <v>1755</v>
      </c>
      <c r="M632" s="94">
        <v>6204420000</v>
      </c>
      <c r="N632" s="7"/>
      <c r="O632" s="86" t="s">
        <v>94</v>
      </c>
      <c r="P632">
        <v>1</v>
      </c>
    </row>
    <row r="633" spans="1:16" customFormat="1" ht="15.75">
      <c r="A633" s="84" t="str">
        <f>LEFT(M633,4)</f>
        <v>6204</v>
      </c>
      <c r="B633" s="84" t="str">
        <f t="shared" si="9"/>
        <v>ПЛАТЬЕ Без товарного знака жен. Артикул 72 цвет РАЗНОЦВЕТНЫЙ р. 50</v>
      </c>
      <c r="C633" s="69" t="s">
        <v>1690</v>
      </c>
      <c r="D633" s="69" t="s">
        <v>55</v>
      </c>
      <c r="E633" s="91" t="s">
        <v>1920</v>
      </c>
      <c r="F633" s="69" t="s">
        <v>1691</v>
      </c>
      <c r="G633" s="86" t="s">
        <v>229</v>
      </c>
      <c r="H633" s="69" t="s">
        <v>1692</v>
      </c>
      <c r="I633" s="69" t="s">
        <v>59</v>
      </c>
      <c r="J633" s="86">
        <v>50</v>
      </c>
      <c r="K633" s="86" t="s">
        <v>1693</v>
      </c>
      <c r="L633" s="86" t="s">
        <v>1693</v>
      </c>
      <c r="M633" s="94">
        <v>6204430000</v>
      </c>
      <c r="N633" s="7"/>
      <c r="O633" s="86" t="s">
        <v>94</v>
      </c>
      <c r="P633">
        <v>1</v>
      </c>
    </row>
    <row r="634" spans="1:16" customFormat="1" ht="15.75">
      <c r="A634" s="84" t="str">
        <f>LEFT(M634,4)</f>
        <v>6204</v>
      </c>
      <c r="B634" s="84" t="str">
        <f t="shared" ref="B634:B697" si="10">CONCATENATE(F634," ", C634," ",H634," ",D634," ", E634, " цвет ", G634, " р. ", J634)</f>
        <v>ПЛАТЬЕ Без товарного знака жен. Артикул 72 цвет РАЗНОЦВЕТНЫЙ р. 56</v>
      </c>
      <c r="C634" s="69" t="s">
        <v>1690</v>
      </c>
      <c r="D634" s="69" t="s">
        <v>55</v>
      </c>
      <c r="E634" s="91" t="s">
        <v>1920</v>
      </c>
      <c r="F634" s="69" t="s">
        <v>1691</v>
      </c>
      <c r="G634" s="86" t="s">
        <v>229</v>
      </c>
      <c r="H634" s="69" t="s">
        <v>1692</v>
      </c>
      <c r="I634" s="69" t="s">
        <v>59</v>
      </c>
      <c r="J634" s="86">
        <v>56</v>
      </c>
      <c r="K634" s="86" t="s">
        <v>1693</v>
      </c>
      <c r="L634" s="86" t="s">
        <v>1693</v>
      </c>
      <c r="M634" s="94">
        <v>6204430000</v>
      </c>
      <c r="N634" s="7"/>
      <c r="O634" s="86" t="s">
        <v>94</v>
      </c>
      <c r="P634">
        <v>1</v>
      </c>
    </row>
    <row r="635" spans="1:16" customFormat="1" ht="15.75">
      <c r="A635" s="84" t="str">
        <f>LEFT(M635,4)</f>
        <v>6204</v>
      </c>
      <c r="B635" s="84" t="str">
        <f t="shared" si="10"/>
        <v>ПЛАТЬЕ Без товарного знака жен. Артикул 5327 цвет РАЗНОЦВЕТНЫЙ р. 50</v>
      </c>
      <c r="C635" s="69" t="s">
        <v>1690</v>
      </c>
      <c r="D635" s="69" t="s">
        <v>55</v>
      </c>
      <c r="E635" s="91" t="s">
        <v>1921</v>
      </c>
      <c r="F635" s="69" t="s">
        <v>1691</v>
      </c>
      <c r="G635" s="86" t="s">
        <v>229</v>
      </c>
      <c r="H635" s="69" t="s">
        <v>1692</v>
      </c>
      <c r="I635" s="69" t="s">
        <v>59</v>
      </c>
      <c r="J635" s="86">
        <v>50</v>
      </c>
      <c r="K635" s="86" t="s">
        <v>1922</v>
      </c>
      <c r="L635" s="86" t="s">
        <v>1922</v>
      </c>
      <c r="M635" s="94">
        <v>6204440000</v>
      </c>
      <c r="N635" s="7"/>
      <c r="O635" s="86" t="s">
        <v>94</v>
      </c>
      <c r="P635">
        <v>1</v>
      </c>
    </row>
    <row r="636" spans="1:16" customFormat="1" ht="15.75">
      <c r="A636" s="84" t="str">
        <f>LEFT(M636,4)</f>
        <v>6204</v>
      </c>
      <c r="B636" s="84" t="str">
        <f t="shared" si="10"/>
        <v>ПЛАТЬЕ Без товарного знака жен. Артикул 5327 цвет РАЗНОЦВЕТНЫЙ р. 54</v>
      </c>
      <c r="C636" s="69" t="s">
        <v>1690</v>
      </c>
      <c r="D636" s="69" t="s">
        <v>55</v>
      </c>
      <c r="E636" s="91" t="s">
        <v>1921</v>
      </c>
      <c r="F636" s="69" t="s">
        <v>1691</v>
      </c>
      <c r="G636" s="86" t="s">
        <v>229</v>
      </c>
      <c r="H636" s="69" t="s">
        <v>1692</v>
      </c>
      <c r="I636" s="69" t="s">
        <v>59</v>
      </c>
      <c r="J636" s="86">
        <v>54</v>
      </c>
      <c r="K636" s="86" t="s">
        <v>1922</v>
      </c>
      <c r="L636" s="86" t="s">
        <v>1922</v>
      </c>
      <c r="M636" s="94">
        <v>6204440000</v>
      </c>
      <c r="N636" s="7"/>
      <c r="O636" s="86" t="s">
        <v>94</v>
      </c>
      <c r="P636">
        <v>1</v>
      </c>
    </row>
    <row r="637" spans="1:16" customFormat="1" ht="15.75">
      <c r="A637" s="84" t="str">
        <f>LEFT(M637,4)</f>
        <v>6204</v>
      </c>
      <c r="B637" s="84" t="str">
        <f t="shared" si="10"/>
        <v>ПЛАТЬЕ Без товарного знака жен. Артикул 7166 цвет РАЗНОЦВЕТНЫЙ р. 54</v>
      </c>
      <c r="C637" s="69" t="s">
        <v>1690</v>
      </c>
      <c r="D637" s="69" t="s">
        <v>55</v>
      </c>
      <c r="E637" s="91" t="s">
        <v>1923</v>
      </c>
      <c r="F637" s="69" t="s">
        <v>1691</v>
      </c>
      <c r="G637" s="86" t="s">
        <v>229</v>
      </c>
      <c r="H637" s="69" t="s">
        <v>1692</v>
      </c>
      <c r="I637" s="69" t="s">
        <v>59</v>
      </c>
      <c r="J637" s="86">
        <v>54</v>
      </c>
      <c r="K637" s="86" t="s">
        <v>1693</v>
      </c>
      <c r="L637" s="86" t="s">
        <v>1693</v>
      </c>
      <c r="M637" s="94">
        <v>6204430000</v>
      </c>
      <c r="N637" s="7"/>
      <c r="O637" s="86" t="s">
        <v>94</v>
      </c>
      <c r="P637">
        <v>1</v>
      </c>
    </row>
    <row r="638" spans="1:16" customFormat="1" ht="15.75">
      <c r="A638" s="84" t="str">
        <f>LEFT(M638,4)</f>
        <v>6204</v>
      </c>
      <c r="B638" s="84" t="str">
        <f t="shared" si="10"/>
        <v>ПЛАТЬЕ Без товарного знака жен. Артикул 105 цвет РАЗНОЦВЕТНЫЙ р. 56</v>
      </c>
      <c r="C638" s="69" t="s">
        <v>1690</v>
      </c>
      <c r="D638" s="69" t="s">
        <v>55</v>
      </c>
      <c r="E638" s="91" t="s">
        <v>1924</v>
      </c>
      <c r="F638" s="69" t="s">
        <v>1691</v>
      </c>
      <c r="G638" s="86" t="s">
        <v>229</v>
      </c>
      <c r="H638" s="69" t="s">
        <v>1692</v>
      </c>
      <c r="I638" s="69" t="s">
        <v>59</v>
      </c>
      <c r="J638" s="86">
        <v>56</v>
      </c>
      <c r="K638" s="86" t="s">
        <v>1693</v>
      </c>
      <c r="L638" s="86" t="s">
        <v>1693</v>
      </c>
      <c r="M638" s="94">
        <v>6204430000</v>
      </c>
      <c r="N638" s="7"/>
      <c r="O638" s="86" t="s">
        <v>94</v>
      </c>
      <c r="P638">
        <v>1</v>
      </c>
    </row>
    <row r="639" spans="1:16" customFormat="1" ht="15.75">
      <c r="A639" s="84" t="str">
        <f>LEFT(M639,4)</f>
        <v>6204</v>
      </c>
      <c r="B639" s="84" t="str">
        <f t="shared" si="10"/>
        <v>ПЛАТЬЕ Без товарного знака жен. Артикул 6032 цвет РАЗНОЦВЕТНЫЙ р. 52</v>
      </c>
      <c r="C639" s="69" t="s">
        <v>1690</v>
      </c>
      <c r="D639" s="69" t="s">
        <v>55</v>
      </c>
      <c r="E639" s="91" t="s">
        <v>1925</v>
      </c>
      <c r="F639" s="69" t="s">
        <v>1691</v>
      </c>
      <c r="G639" s="86" t="s">
        <v>229</v>
      </c>
      <c r="H639" s="69" t="s">
        <v>1692</v>
      </c>
      <c r="I639" s="69" t="s">
        <v>59</v>
      </c>
      <c r="J639" s="86">
        <v>52</v>
      </c>
      <c r="K639" s="86" t="s">
        <v>1693</v>
      </c>
      <c r="L639" s="86" t="s">
        <v>1693</v>
      </c>
      <c r="M639" s="94">
        <v>6204430000</v>
      </c>
      <c r="N639" s="7"/>
      <c r="O639" s="86" t="s">
        <v>94</v>
      </c>
      <c r="P639">
        <v>1</v>
      </c>
    </row>
    <row r="640" spans="1:16" customFormat="1" ht="15.75">
      <c r="A640" s="84" t="str">
        <f>LEFT(M640,4)</f>
        <v>6204</v>
      </c>
      <c r="B640" s="84" t="str">
        <f t="shared" si="10"/>
        <v>ПЛАТЬЕ Без товарного знака жен. Артикул 6032 цвет РАЗНОЦВЕТНЫЙ р. 54</v>
      </c>
      <c r="C640" s="69" t="s">
        <v>1690</v>
      </c>
      <c r="D640" s="69" t="s">
        <v>55</v>
      </c>
      <c r="E640" s="91" t="s">
        <v>1925</v>
      </c>
      <c r="F640" s="69" t="s">
        <v>1691</v>
      </c>
      <c r="G640" s="86" t="s">
        <v>229</v>
      </c>
      <c r="H640" s="69" t="s">
        <v>1692</v>
      </c>
      <c r="I640" s="69" t="s">
        <v>59</v>
      </c>
      <c r="J640" s="86">
        <v>54</v>
      </c>
      <c r="K640" s="86" t="s">
        <v>1693</v>
      </c>
      <c r="L640" s="86" t="s">
        <v>1693</v>
      </c>
      <c r="M640" s="94">
        <v>6204430000</v>
      </c>
      <c r="N640" s="7"/>
      <c r="O640" s="86" t="s">
        <v>94</v>
      </c>
      <c r="P640">
        <v>1</v>
      </c>
    </row>
    <row r="641" spans="1:16" customFormat="1" ht="15.75">
      <c r="A641" s="84" t="str">
        <f>LEFT(M641,4)</f>
        <v>6204</v>
      </c>
      <c r="B641" s="84" t="str">
        <f t="shared" si="10"/>
        <v>ПЛАТЬЕ Без товарного знака жен. Артикул 6032 цвет РАЗНОЦВЕТНЫЙ р. 58</v>
      </c>
      <c r="C641" s="69" t="s">
        <v>1690</v>
      </c>
      <c r="D641" s="69" t="s">
        <v>55</v>
      </c>
      <c r="E641" s="91" t="s">
        <v>1925</v>
      </c>
      <c r="F641" s="69" t="s">
        <v>1691</v>
      </c>
      <c r="G641" s="86" t="s">
        <v>229</v>
      </c>
      <c r="H641" s="69" t="s">
        <v>1692</v>
      </c>
      <c r="I641" s="69" t="s">
        <v>59</v>
      </c>
      <c r="J641" s="86">
        <v>58</v>
      </c>
      <c r="K641" s="86" t="s">
        <v>1693</v>
      </c>
      <c r="L641" s="86" t="s">
        <v>1693</v>
      </c>
      <c r="M641" s="94">
        <v>6204430000</v>
      </c>
      <c r="N641" s="7"/>
      <c r="O641" s="86" t="s">
        <v>94</v>
      </c>
      <c r="P641">
        <v>1</v>
      </c>
    </row>
    <row r="642" spans="1:16" customFormat="1" ht="15.75">
      <c r="A642" s="84" t="str">
        <f>LEFT(M642,4)</f>
        <v>6204</v>
      </c>
      <c r="B642" s="84" t="str">
        <f t="shared" si="10"/>
        <v>ПЛАТЬЕ Без товарного знака жен. Артикул 6032 цвет РАЗНОЦВЕТНЫЙ р. 60</v>
      </c>
      <c r="C642" s="69" t="s">
        <v>1690</v>
      </c>
      <c r="D642" s="69" t="s">
        <v>55</v>
      </c>
      <c r="E642" s="91" t="s">
        <v>1925</v>
      </c>
      <c r="F642" s="69" t="s">
        <v>1691</v>
      </c>
      <c r="G642" s="86" t="s">
        <v>229</v>
      </c>
      <c r="H642" s="69" t="s">
        <v>1692</v>
      </c>
      <c r="I642" s="69" t="s">
        <v>59</v>
      </c>
      <c r="J642" s="86">
        <v>60</v>
      </c>
      <c r="K642" s="86" t="s">
        <v>1693</v>
      </c>
      <c r="L642" s="86" t="s">
        <v>1693</v>
      </c>
      <c r="M642" s="94">
        <v>6204430000</v>
      </c>
      <c r="N642" s="7"/>
      <c r="O642" s="86" t="s">
        <v>94</v>
      </c>
      <c r="P642">
        <v>1</v>
      </c>
    </row>
    <row r="643" spans="1:16" customFormat="1" ht="15.75">
      <c r="A643" s="84" t="str">
        <f>LEFT(M643,4)</f>
        <v>6204</v>
      </c>
      <c r="B643" s="84" t="str">
        <f t="shared" si="10"/>
        <v>ПЛАТЬЕ Без товарного знака жен. Артикул 5446 цвет РАЗНОЦВЕТНЫЙ р. 46</v>
      </c>
      <c r="C643" s="69" t="s">
        <v>1690</v>
      </c>
      <c r="D643" s="69" t="s">
        <v>55</v>
      </c>
      <c r="E643" s="91" t="s">
        <v>1926</v>
      </c>
      <c r="F643" s="69" t="s">
        <v>1691</v>
      </c>
      <c r="G643" s="86" t="s">
        <v>229</v>
      </c>
      <c r="H643" s="69" t="s">
        <v>1692</v>
      </c>
      <c r="I643" s="69" t="s">
        <v>59</v>
      </c>
      <c r="J643" s="86">
        <v>46</v>
      </c>
      <c r="K643" s="86" t="s">
        <v>1753</v>
      </c>
      <c r="L643" s="86" t="s">
        <v>1753</v>
      </c>
      <c r="M643" s="94">
        <v>6204499000</v>
      </c>
      <c r="N643" s="7"/>
      <c r="O643" s="86" t="s">
        <v>94</v>
      </c>
      <c r="P643">
        <v>1</v>
      </c>
    </row>
    <row r="644" spans="1:16" customFormat="1" ht="15.75">
      <c r="A644" s="84" t="str">
        <f>LEFT(M644,4)</f>
        <v>6204</v>
      </c>
      <c r="B644" s="84" t="str">
        <f t="shared" si="10"/>
        <v>ПЛАТЬЕ Без товарного знака жен. Артикул 5446 цвет РАЗНОЦВЕТНЫЙ р. 52</v>
      </c>
      <c r="C644" s="69" t="s">
        <v>1690</v>
      </c>
      <c r="D644" s="69" t="s">
        <v>55</v>
      </c>
      <c r="E644" s="91" t="s">
        <v>1926</v>
      </c>
      <c r="F644" s="69" t="s">
        <v>1691</v>
      </c>
      <c r="G644" s="86" t="s">
        <v>229</v>
      </c>
      <c r="H644" s="69" t="s">
        <v>1692</v>
      </c>
      <c r="I644" s="69" t="s">
        <v>59</v>
      </c>
      <c r="J644" s="86">
        <v>52</v>
      </c>
      <c r="K644" s="86" t="s">
        <v>1753</v>
      </c>
      <c r="L644" s="86" t="s">
        <v>1753</v>
      </c>
      <c r="M644" s="94">
        <v>6204499000</v>
      </c>
      <c r="N644" s="7"/>
      <c r="O644" s="86" t="s">
        <v>94</v>
      </c>
      <c r="P644">
        <v>1</v>
      </c>
    </row>
    <row r="645" spans="1:16" customFormat="1" ht="15.75">
      <c r="A645" s="84" t="str">
        <f>LEFT(M645,4)</f>
        <v>6204</v>
      </c>
      <c r="B645" s="84" t="str">
        <f t="shared" si="10"/>
        <v>ПЛАТЬЕ Без товарного знака жен. Артикул 5446 цвет РАЗНОЦВЕТНЫЙ р. 56</v>
      </c>
      <c r="C645" s="69" t="s">
        <v>1690</v>
      </c>
      <c r="D645" s="69" t="s">
        <v>55</v>
      </c>
      <c r="E645" s="91" t="s">
        <v>1926</v>
      </c>
      <c r="F645" s="69" t="s">
        <v>1691</v>
      </c>
      <c r="G645" s="86" t="s">
        <v>229</v>
      </c>
      <c r="H645" s="69" t="s">
        <v>1692</v>
      </c>
      <c r="I645" s="69" t="s">
        <v>59</v>
      </c>
      <c r="J645" s="86">
        <v>56</v>
      </c>
      <c r="K645" s="86" t="s">
        <v>1753</v>
      </c>
      <c r="L645" s="86" t="s">
        <v>1753</v>
      </c>
      <c r="M645" s="94">
        <v>6204499000</v>
      </c>
      <c r="N645" s="7"/>
      <c r="O645" s="86" t="s">
        <v>94</v>
      </c>
      <c r="P645">
        <v>1</v>
      </c>
    </row>
    <row r="646" spans="1:16" customFormat="1" ht="15.75">
      <c r="A646" s="84" t="str">
        <f>LEFT(M646,4)</f>
        <v>6204</v>
      </c>
      <c r="B646" s="84" t="str">
        <f t="shared" si="10"/>
        <v>ПЛАТЬЕ Без товарного знака жен. Артикул 763 цвет РАЗНОЦВЕТНЫЙ р. 48</v>
      </c>
      <c r="C646" s="69" t="s">
        <v>1690</v>
      </c>
      <c r="D646" s="69" t="s">
        <v>55</v>
      </c>
      <c r="E646" s="91" t="s">
        <v>1927</v>
      </c>
      <c r="F646" s="69" t="s">
        <v>1691</v>
      </c>
      <c r="G646" s="86" t="s">
        <v>229</v>
      </c>
      <c r="H646" s="69" t="s">
        <v>1692</v>
      </c>
      <c r="I646" s="69" t="s">
        <v>59</v>
      </c>
      <c r="J646" s="86">
        <v>48</v>
      </c>
      <c r="K646" s="86" t="s">
        <v>1753</v>
      </c>
      <c r="L646" s="86" t="s">
        <v>1753</v>
      </c>
      <c r="M646" s="94">
        <v>6204499000</v>
      </c>
      <c r="N646" s="7"/>
      <c r="O646" s="86" t="s">
        <v>94</v>
      </c>
      <c r="P646">
        <v>1</v>
      </c>
    </row>
    <row r="647" spans="1:16" customFormat="1" ht="15.75">
      <c r="A647" s="84" t="str">
        <f>LEFT(M647,4)</f>
        <v>6204</v>
      </c>
      <c r="B647" s="84" t="str">
        <f t="shared" si="10"/>
        <v>ПЛАТЬЕ Без товарного знака жен. Артикул 763 цвет РАЗНОЦВЕТНЫЙ р. 50</v>
      </c>
      <c r="C647" s="69" t="s">
        <v>1690</v>
      </c>
      <c r="D647" s="69" t="s">
        <v>55</v>
      </c>
      <c r="E647" s="91" t="s">
        <v>1927</v>
      </c>
      <c r="F647" s="69" t="s">
        <v>1691</v>
      </c>
      <c r="G647" s="86" t="s">
        <v>229</v>
      </c>
      <c r="H647" s="69" t="s">
        <v>1692</v>
      </c>
      <c r="I647" s="69" t="s">
        <v>59</v>
      </c>
      <c r="J647" s="86">
        <v>50</v>
      </c>
      <c r="K647" s="86" t="s">
        <v>1753</v>
      </c>
      <c r="L647" s="86" t="s">
        <v>1753</v>
      </c>
      <c r="M647" s="94">
        <v>6204499000</v>
      </c>
      <c r="N647" s="7"/>
      <c r="O647" s="86" t="s">
        <v>94</v>
      </c>
      <c r="P647">
        <v>1</v>
      </c>
    </row>
    <row r="648" spans="1:16" customFormat="1" ht="15.75">
      <c r="A648" s="84" t="str">
        <f>LEFT(M648,4)</f>
        <v>6204</v>
      </c>
      <c r="B648" s="84" t="str">
        <f t="shared" si="10"/>
        <v>ПЛАТЬЕ Без товарного знака жен. Артикул 763 цвет РАЗНОЦВЕТНЫЙ р. 54</v>
      </c>
      <c r="C648" s="69" t="s">
        <v>1690</v>
      </c>
      <c r="D648" s="69" t="s">
        <v>55</v>
      </c>
      <c r="E648" s="91" t="s">
        <v>1927</v>
      </c>
      <c r="F648" s="69" t="s">
        <v>1691</v>
      </c>
      <c r="G648" s="86" t="s">
        <v>229</v>
      </c>
      <c r="H648" s="69" t="s">
        <v>1692</v>
      </c>
      <c r="I648" s="69" t="s">
        <v>59</v>
      </c>
      <c r="J648" s="86">
        <v>54</v>
      </c>
      <c r="K648" s="86" t="s">
        <v>1753</v>
      </c>
      <c r="L648" s="86" t="s">
        <v>1753</v>
      </c>
      <c r="M648" s="94">
        <v>6204499000</v>
      </c>
      <c r="N648" s="7"/>
      <c r="O648" s="86" t="s">
        <v>94</v>
      </c>
      <c r="P648">
        <v>1</v>
      </c>
    </row>
    <row r="649" spans="1:16" customFormat="1" ht="15.75">
      <c r="A649" s="84" t="str">
        <f>LEFT(M649,4)</f>
        <v>6204</v>
      </c>
      <c r="B649" s="84" t="str">
        <f t="shared" si="10"/>
        <v>ПЛАТЬЕ Без товарного знака жен. Артикул 7010 цвет РАЗНОЦВЕТНЫЙ р. 54</v>
      </c>
      <c r="C649" s="69" t="s">
        <v>1690</v>
      </c>
      <c r="D649" s="69" t="s">
        <v>55</v>
      </c>
      <c r="E649" s="91" t="s">
        <v>1928</v>
      </c>
      <c r="F649" s="69" t="s">
        <v>1691</v>
      </c>
      <c r="G649" s="86" t="s">
        <v>229</v>
      </c>
      <c r="H649" s="69" t="s">
        <v>1692</v>
      </c>
      <c r="I649" s="69" t="s">
        <v>59</v>
      </c>
      <c r="J649" s="86">
        <v>54</v>
      </c>
      <c r="K649" s="86" t="s">
        <v>1922</v>
      </c>
      <c r="L649" s="86" t="s">
        <v>1922</v>
      </c>
      <c r="M649" s="94">
        <v>6204440000</v>
      </c>
      <c r="N649" s="7"/>
      <c r="O649" s="86" t="s">
        <v>94</v>
      </c>
      <c r="P649">
        <v>1</v>
      </c>
    </row>
    <row r="650" spans="1:16" customFormat="1" ht="15.75">
      <c r="A650" s="84" t="str">
        <f>LEFT(M650,4)</f>
        <v>6204</v>
      </c>
      <c r="B650" s="84" t="str">
        <f t="shared" si="10"/>
        <v>ПЛАТЬЕ Без товарного знака жен. Артикул 515 цвет РАЗНОЦВЕТНЫЙ р. 50</v>
      </c>
      <c r="C650" s="69" t="s">
        <v>1690</v>
      </c>
      <c r="D650" s="69" t="s">
        <v>55</v>
      </c>
      <c r="E650" s="91" t="s">
        <v>1929</v>
      </c>
      <c r="F650" s="69" t="s">
        <v>1691</v>
      </c>
      <c r="G650" s="86" t="s">
        <v>229</v>
      </c>
      <c r="H650" s="69" t="s">
        <v>1692</v>
      </c>
      <c r="I650" s="69" t="s">
        <v>59</v>
      </c>
      <c r="J650" s="86">
        <v>50</v>
      </c>
      <c r="K650" s="86" t="s">
        <v>1753</v>
      </c>
      <c r="L650" s="86" t="s">
        <v>1753</v>
      </c>
      <c r="M650" s="94">
        <v>6204499000</v>
      </c>
      <c r="N650" s="7"/>
      <c r="O650" s="86" t="s">
        <v>63</v>
      </c>
      <c r="P650">
        <v>1</v>
      </c>
    </row>
    <row r="651" spans="1:16" customFormat="1" ht="15.75">
      <c r="A651" s="84" t="str">
        <f>LEFT(M651,4)</f>
        <v>6204</v>
      </c>
      <c r="B651" s="84" t="str">
        <f t="shared" si="10"/>
        <v>ПЛАТЬЕ Без товарного знака жен. Артикул 0131643 цвет РАЗНОЦВЕТНЫЙ р. 42</v>
      </c>
      <c r="C651" s="69" t="s">
        <v>1690</v>
      </c>
      <c r="D651" s="69" t="s">
        <v>55</v>
      </c>
      <c r="E651" s="91" t="s">
        <v>1930</v>
      </c>
      <c r="F651" s="69" t="s">
        <v>1691</v>
      </c>
      <c r="G651" s="86" t="s">
        <v>229</v>
      </c>
      <c r="H651" s="69" t="s">
        <v>1692</v>
      </c>
      <c r="I651" s="69" t="s">
        <v>59</v>
      </c>
      <c r="J651" s="86">
        <v>42</v>
      </c>
      <c r="K651" s="86" t="s">
        <v>1861</v>
      </c>
      <c r="L651" s="86" t="s">
        <v>1861</v>
      </c>
      <c r="M651" s="94">
        <v>6204440000</v>
      </c>
      <c r="N651" s="7"/>
      <c r="O651" s="86" t="s">
        <v>59</v>
      </c>
      <c r="P651">
        <v>1</v>
      </c>
    </row>
    <row r="652" spans="1:16" customFormat="1" ht="15.75">
      <c r="A652" s="84" t="str">
        <f>LEFT(M652,4)</f>
        <v>6204</v>
      </c>
      <c r="B652" s="84" t="str">
        <f t="shared" si="10"/>
        <v>ПЛАТЬЕ Без товарного знака жен. Артикул 53838 цвет РАЗНОЦВЕТНЫЙ р. 46</v>
      </c>
      <c r="C652" s="69" t="s">
        <v>1690</v>
      </c>
      <c r="D652" s="69" t="s">
        <v>55</v>
      </c>
      <c r="E652" s="91" t="s">
        <v>1931</v>
      </c>
      <c r="F652" s="69" t="s">
        <v>1691</v>
      </c>
      <c r="G652" s="86" t="s">
        <v>229</v>
      </c>
      <c r="H652" s="69" t="s">
        <v>1692</v>
      </c>
      <c r="I652" s="69" t="s">
        <v>59</v>
      </c>
      <c r="J652" s="86">
        <v>46</v>
      </c>
      <c r="K652" s="86" t="s">
        <v>1693</v>
      </c>
      <c r="L652" s="86" t="s">
        <v>1693</v>
      </c>
      <c r="M652" s="94">
        <v>6204430000</v>
      </c>
      <c r="N652" s="7"/>
      <c r="O652" s="86" t="s">
        <v>94</v>
      </c>
      <c r="P652">
        <v>1</v>
      </c>
    </row>
    <row r="653" spans="1:16" customFormat="1" ht="15.75">
      <c r="A653" s="84" t="str">
        <f>LEFT(M653,4)</f>
        <v>6204</v>
      </c>
      <c r="B653" s="84" t="str">
        <f t="shared" si="10"/>
        <v>ПЛАТЬЕ Без товарного знака жен. Артикул 53838 цвет РАЗНОЦВЕТНЫЙ р. 46</v>
      </c>
      <c r="C653" s="69" t="s">
        <v>1690</v>
      </c>
      <c r="D653" s="69" t="s">
        <v>55</v>
      </c>
      <c r="E653" s="91" t="s">
        <v>1931</v>
      </c>
      <c r="F653" s="69" t="s">
        <v>1691</v>
      </c>
      <c r="G653" s="86" t="s">
        <v>229</v>
      </c>
      <c r="H653" s="69" t="s">
        <v>1692</v>
      </c>
      <c r="I653" s="69" t="s">
        <v>59</v>
      </c>
      <c r="J653" s="86">
        <v>46</v>
      </c>
      <c r="K653" s="86" t="s">
        <v>1693</v>
      </c>
      <c r="L653" s="86" t="s">
        <v>1693</v>
      </c>
      <c r="M653" s="94">
        <v>6204430000</v>
      </c>
      <c r="N653" s="7"/>
      <c r="O653" s="86" t="s">
        <v>94</v>
      </c>
      <c r="P653">
        <v>1</v>
      </c>
    </row>
    <row r="654" spans="1:16" customFormat="1" ht="15.75">
      <c r="A654" s="84" t="str">
        <f>LEFT(M654,4)</f>
        <v>6204</v>
      </c>
      <c r="B654" s="84" t="str">
        <f t="shared" si="10"/>
        <v>ПЛАТЬЕ Без товарного знака жен. Артикул 1538 цвет БЕЖЕВЫЙ р. S</v>
      </c>
      <c r="C654" s="69" t="s">
        <v>1690</v>
      </c>
      <c r="D654" s="69" t="s">
        <v>55</v>
      </c>
      <c r="E654" s="91" t="s">
        <v>1932</v>
      </c>
      <c r="F654" s="69" t="s">
        <v>1691</v>
      </c>
      <c r="G654" s="86" t="s">
        <v>57</v>
      </c>
      <c r="H654" s="69" t="s">
        <v>1692</v>
      </c>
      <c r="I654" s="69" t="s">
        <v>1630</v>
      </c>
      <c r="J654" s="86" t="s">
        <v>1671</v>
      </c>
      <c r="K654" s="86" t="s">
        <v>1693</v>
      </c>
      <c r="L654" s="86" t="s">
        <v>1693</v>
      </c>
      <c r="M654" s="94">
        <v>6204430000</v>
      </c>
      <c r="N654" s="7"/>
      <c r="O654" s="86" t="s">
        <v>94</v>
      </c>
      <c r="P654">
        <v>1</v>
      </c>
    </row>
    <row r="655" spans="1:16" customFormat="1" ht="15.75">
      <c r="A655" s="84" t="str">
        <f>LEFT(M655,4)</f>
        <v>6204</v>
      </c>
      <c r="B655" s="84" t="str">
        <f t="shared" si="10"/>
        <v>ПЛАТЬЕ Без товарного знака жен. Артикул 1538 цвет БЕЖЕВЫЙ р. L</v>
      </c>
      <c r="C655" s="69" t="s">
        <v>1690</v>
      </c>
      <c r="D655" s="69" t="s">
        <v>55</v>
      </c>
      <c r="E655" s="91" t="s">
        <v>1932</v>
      </c>
      <c r="F655" s="69" t="s">
        <v>1691</v>
      </c>
      <c r="G655" s="86" t="s">
        <v>57</v>
      </c>
      <c r="H655" s="69" t="s">
        <v>1692</v>
      </c>
      <c r="I655" s="69" t="s">
        <v>1630</v>
      </c>
      <c r="J655" s="86" t="s">
        <v>1636</v>
      </c>
      <c r="K655" s="86" t="s">
        <v>1693</v>
      </c>
      <c r="L655" s="86" t="s">
        <v>1693</v>
      </c>
      <c r="M655" s="94">
        <v>6204430000</v>
      </c>
      <c r="N655" s="7"/>
      <c r="O655" s="86" t="s">
        <v>94</v>
      </c>
      <c r="P655">
        <v>1</v>
      </c>
    </row>
    <row r="656" spans="1:16" customFormat="1" ht="15.75">
      <c r="A656" s="84" t="str">
        <f>LEFT(M656,4)</f>
        <v>6204</v>
      </c>
      <c r="B656" s="84" t="str">
        <f t="shared" si="10"/>
        <v>ПЛАТЬЕ Без товарного знака жен. Артикул 1538 цвет БЕЖЕВЫЙ р. XL</v>
      </c>
      <c r="C656" s="69" t="s">
        <v>1690</v>
      </c>
      <c r="D656" s="69" t="s">
        <v>55</v>
      </c>
      <c r="E656" s="91" t="s">
        <v>1932</v>
      </c>
      <c r="F656" s="69" t="s">
        <v>1691</v>
      </c>
      <c r="G656" s="86" t="s">
        <v>57</v>
      </c>
      <c r="H656" s="69" t="s">
        <v>1692</v>
      </c>
      <c r="I656" s="69" t="s">
        <v>1630</v>
      </c>
      <c r="J656" s="86" t="s">
        <v>1933</v>
      </c>
      <c r="K656" s="86" t="s">
        <v>1693</v>
      </c>
      <c r="L656" s="86" t="s">
        <v>1693</v>
      </c>
      <c r="M656" s="94">
        <v>6204430000</v>
      </c>
      <c r="N656" s="7"/>
      <c r="O656" s="86" t="s">
        <v>94</v>
      </c>
      <c r="P656">
        <v>1</v>
      </c>
    </row>
    <row r="657" spans="1:16" customFormat="1" ht="15.75">
      <c r="A657" s="84" t="str">
        <f>LEFT(M657,4)</f>
        <v>6204</v>
      </c>
      <c r="B657" s="84" t="str">
        <f t="shared" si="10"/>
        <v>ПЛАТЬЕ Без товарного знака жен. Артикул 7119 цвет ТЕМНО-СИНИЙ р. 54</v>
      </c>
      <c r="C657" s="69" t="s">
        <v>1690</v>
      </c>
      <c r="D657" s="69" t="s">
        <v>55</v>
      </c>
      <c r="E657" s="91" t="s">
        <v>1934</v>
      </c>
      <c r="F657" s="69" t="s">
        <v>1691</v>
      </c>
      <c r="G657" s="86" t="s">
        <v>309</v>
      </c>
      <c r="H657" s="69" t="s">
        <v>1692</v>
      </c>
      <c r="I657" s="69" t="s">
        <v>59</v>
      </c>
      <c r="J657" s="86">
        <v>54</v>
      </c>
      <c r="K657" s="86" t="s">
        <v>1693</v>
      </c>
      <c r="L657" s="86" t="s">
        <v>1693</v>
      </c>
      <c r="M657" s="94">
        <v>6204430000</v>
      </c>
      <c r="N657" s="7"/>
      <c r="O657" s="86" t="s">
        <v>94</v>
      </c>
      <c r="P657">
        <v>1</v>
      </c>
    </row>
    <row r="658" spans="1:16" customFormat="1" ht="15.75">
      <c r="A658" s="84" t="str">
        <f>LEFT(M658,4)</f>
        <v>6204</v>
      </c>
      <c r="B658" s="84" t="str">
        <f t="shared" si="10"/>
        <v>ПЛАТЬЕ Без товарного знака жен. Артикул 7119 цвет ТЕМНО-СИНИЙ р. 56</v>
      </c>
      <c r="C658" s="69" t="s">
        <v>1690</v>
      </c>
      <c r="D658" s="69" t="s">
        <v>55</v>
      </c>
      <c r="E658" s="91" t="s">
        <v>1934</v>
      </c>
      <c r="F658" s="69" t="s">
        <v>1691</v>
      </c>
      <c r="G658" s="86" t="s">
        <v>309</v>
      </c>
      <c r="H658" s="69" t="s">
        <v>1692</v>
      </c>
      <c r="I658" s="69" t="s">
        <v>59</v>
      </c>
      <c r="J658" s="86">
        <v>56</v>
      </c>
      <c r="K658" s="86" t="s">
        <v>1693</v>
      </c>
      <c r="L658" s="86" t="s">
        <v>1693</v>
      </c>
      <c r="M658" s="94">
        <v>6204430000</v>
      </c>
      <c r="N658" s="7"/>
      <c r="O658" s="86" t="s">
        <v>94</v>
      </c>
      <c r="P658">
        <v>1</v>
      </c>
    </row>
    <row r="659" spans="1:16" customFormat="1" ht="15.75">
      <c r="A659" s="84" t="str">
        <f>LEFT(M659,4)</f>
        <v>6204</v>
      </c>
      <c r="B659" s="84" t="str">
        <f t="shared" si="10"/>
        <v>ПЛАТЬЕ Без товарного знака жен. Артикул 7119 цвет ТЕМНО-СИНИЙ р. 58</v>
      </c>
      <c r="C659" s="69" t="s">
        <v>1690</v>
      </c>
      <c r="D659" s="69" t="s">
        <v>55</v>
      </c>
      <c r="E659" s="91" t="s">
        <v>1934</v>
      </c>
      <c r="F659" s="69" t="s">
        <v>1691</v>
      </c>
      <c r="G659" s="86" t="s">
        <v>309</v>
      </c>
      <c r="H659" s="69" t="s">
        <v>1692</v>
      </c>
      <c r="I659" s="69" t="s">
        <v>59</v>
      </c>
      <c r="J659" s="86">
        <v>58</v>
      </c>
      <c r="K659" s="86" t="s">
        <v>1693</v>
      </c>
      <c r="L659" s="86" t="s">
        <v>1693</v>
      </c>
      <c r="M659" s="94">
        <v>6204430000</v>
      </c>
      <c r="N659" s="7"/>
      <c r="O659" s="86" t="s">
        <v>94</v>
      </c>
      <c r="P659">
        <v>1</v>
      </c>
    </row>
    <row r="660" spans="1:16" customFormat="1" ht="15.75">
      <c r="A660" s="84" t="str">
        <f>LEFT(M660,4)</f>
        <v>6204</v>
      </c>
      <c r="B660" s="84" t="str">
        <f t="shared" si="10"/>
        <v>ПЛАТЬЕ Без товарного знака жен. Артикул 7119 цвет ТЕМНО-СИНИЙ р. 60</v>
      </c>
      <c r="C660" s="69" t="s">
        <v>1690</v>
      </c>
      <c r="D660" s="69" t="s">
        <v>55</v>
      </c>
      <c r="E660" s="91" t="s">
        <v>1934</v>
      </c>
      <c r="F660" s="69" t="s">
        <v>1691</v>
      </c>
      <c r="G660" s="86" t="s">
        <v>309</v>
      </c>
      <c r="H660" s="69" t="s">
        <v>1692</v>
      </c>
      <c r="I660" s="69" t="s">
        <v>59</v>
      </c>
      <c r="J660" s="86">
        <v>60</v>
      </c>
      <c r="K660" s="86" t="s">
        <v>1693</v>
      </c>
      <c r="L660" s="86" t="s">
        <v>1693</v>
      </c>
      <c r="M660" s="94">
        <v>6204430000</v>
      </c>
      <c r="N660" s="7"/>
      <c r="O660" s="86" t="s">
        <v>94</v>
      </c>
      <c r="P660">
        <v>1</v>
      </c>
    </row>
    <row r="661" spans="1:16" customFormat="1" ht="15.75">
      <c r="A661" s="84" t="str">
        <f>LEFT(M661,4)</f>
        <v>6204</v>
      </c>
      <c r="B661" s="84" t="str">
        <f t="shared" si="10"/>
        <v>ПЛАТЬЕ Без товарного знака жен. Артикул 7119 цвет БЕЛЫЙ р. 54</v>
      </c>
      <c r="C661" s="69" t="s">
        <v>1690</v>
      </c>
      <c r="D661" s="69" t="s">
        <v>55</v>
      </c>
      <c r="E661" s="91" t="s">
        <v>1934</v>
      </c>
      <c r="F661" s="69" t="s">
        <v>1691</v>
      </c>
      <c r="G661" s="86" t="s">
        <v>98</v>
      </c>
      <c r="H661" s="69" t="s">
        <v>1692</v>
      </c>
      <c r="I661" s="69" t="s">
        <v>59</v>
      </c>
      <c r="J661" s="86">
        <v>54</v>
      </c>
      <c r="K661" s="86" t="s">
        <v>1693</v>
      </c>
      <c r="L661" s="86" t="s">
        <v>1693</v>
      </c>
      <c r="M661" s="94">
        <v>6204430000</v>
      </c>
      <c r="N661" s="7"/>
      <c r="O661" s="86" t="s">
        <v>94</v>
      </c>
      <c r="P661">
        <v>1</v>
      </c>
    </row>
    <row r="662" spans="1:16" customFormat="1" ht="15.75">
      <c r="A662" s="84" t="str">
        <f>LEFT(M662,4)</f>
        <v>6204</v>
      </c>
      <c r="B662" s="84" t="str">
        <f t="shared" si="10"/>
        <v>ПЛАТЬЕ Без товарного знака жен. Артикул 7119 цвет БЕЛЫЙ р. 56</v>
      </c>
      <c r="C662" s="69" t="s">
        <v>1690</v>
      </c>
      <c r="D662" s="69" t="s">
        <v>55</v>
      </c>
      <c r="E662" s="91" t="s">
        <v>1934</v>
      </c>
      <c r="F662" s="69" t="s">
        <v>1691</v>
      </c>
      <c r="G662" s="86" t="s">
        <v>98</v>
      </c>
      <c r="H662" s="69" t="s">
        <v>1692</v>
      </c>
      <c r="I662" s="69" t="s">
        <v>59</v>
      </c>
      <c r="J662" s="86">
        <v>56</v>
      </c>
      <c r="K662" s="86" t="s">
        <v>1693</v>
      </c>
      <c r="L662" s="86" t="s">
        <v>1693</v>
      </c>
      <c r="M662" s="94">
        <v>6204430000</v>
      </c>
      <c r="N662" s="7"/>
      <c r="O662" s="86" t="s">
        <v>94</v>
      </c>
      <c r="P662">
        <v>1</v>
      </c>
    </row>
    <row r="663" spans="1:16" customFormat="1" ht="15.75">
      <c r="A663" s="84" t="str">
        <f>LEFT(M663,4)</f>
        <v>6204</v>
      </c>
      <c r="B663" s="84" t="str">
        <f t="shared" si="10"/>
        <v>ПЛАТЬЕ Без товарного знака жен. Артикул 7119 цвет БЕЛЫЙ р. 58</v>
      </c>
      <c r="C663" s="69" t="s">
        <v>1690</v>
      </c>
      <c r="D663" s="69" t="s">
        <v>55</v>
      </c>
      <c r="E663" s="91" t="s">
        <v>1934</v>
      </c>
      <c r="F663" s="69" t="s">
        <v>1691</v>
      </c>
      <c r="G663" s="86" t="s">
        <v>98</v>
      </c>
      <c r="H663" s="69" t="s">
        <v>1692</v>
      </c>
      <c r="I663" s="69" t="s">
        <v>59</v>
      </c>
      <c r="J663" s="86">
        <v>58</v>
      </c>
      <c r="K663" s="86" t="s">
        <v>1693</v>
      </c>
      <c r="L663" s="86" t="s">
        <v>1693</v>
      </c>
      <c r="M663" s="94">
        <v>6204430000</v>
      </c>
      <c r="N663" s="7"/>
      <c r="O663" s="86" t="s">
        <v>94</v>
      </c>
      <c r="P663">
        <v>1</v>
      </c>
    </row>
    <row r="664" spans="1:16" customFormat="1" ht="15.75">
      <c r="A664" s="84" t="str">
        <f>LEFT(M664,4)</f>
        <v>6204</v>
      </c>
      <c r="B664" s="84" t="str">
        <f t="shared" si="10"/>
        <v>ПЛАТЬЕ Без товарного знака жен. Артикул 7119 цвет БЕЛЫЙ р. 60</v>
      </c>
      <c r="C664" s="69" t="s">
        <v>1690</v>
      </c>
      <c r="D664" s="69" t="s">
        <v>55</v>
      </c>
      <c r="E664" s="91" t="s">
        <v>1934</v>
      </c>
      <c r="F664" s="69" t="s">
        <v>1691</v>
      </c>
      <c r="G664" s="86" t="s">
        <v>98</v>
      </c>
      <c r="H664" s="69" t="s">
        <v>1692</v>
      </c>
      <c r="I664" s="69" t="s">
        <v>59</v>
      </c>
      <c r="J664" s="86">
        <v>60</v>
      </c>
      <c r="K664" s="86" t="s">
        <v>1693</v>
      </c>
      <c r="L664" s="86" t="s">
        <v>1693</v>
      </c>
      <c r="M664" s="94">
        <v>6204430000</v>
      </c>
      <c r="N664" s="7"/>
      <c r="O664" s="86" t="s">
        <v>94</v>
      </c>
      <c r="P664">
        <v>1</v>
      </c>
    </row>
    <row r="665" spans="1:16" customFormat="1" ht="15.75">
      <c r="A665" s="84" t="str">
        <f>LEFT(M665,4)</f>
        <v>6204</v>
      </c>
      <c r="B665" s="84" t="str">
        <f t="shared" si="10"/>
        <v>ПЛАТЬЕ Без товарного знака жен. Артикул 7030 цвет РАЗНОЦВЕТНЫЙ р. 50</v>
      </c>
      <c r="C665" s="69" t="s">
        <v>1690</v>
      </c>
      <c r="D665" s="69" t="s">
        <v>55</v>
      </c>
      <c r="E665" s="91" t="s">
        <v>1935</v>
      </c>
      <c r="F665" s="69" t="s">
        <v>1691</v>
      </c>
      <c r="G665" s="86" t="s">
        <v>229</v>
      </c>
      <c r="H665" s="69" t="s">
        <v>1692</v>
      </c>
      <c r="I665" s="69" t="s">
        <v>59</v>
      </c>
      <c r="J665" s="86">
        <v>50</v>
      </c>
      <c r="K665" s="86" t="s">
        <v>1693</v>
      </c>
      <c r="L665" s="86" t="s">
        <v>1693</v>
      </c>
      <c r="M665" s="94">
        <v>6204430000</v>
      </c>
      <c r="N665" s="7"/>
      <c r="O665" s="86" t="s">
        <v>94</v>
      </c>
      <c r="P665">
        <v>1</v>
      </c>
    </row>
    <row r="666" spans="1:16" customFormat="1" ht="15.75">
      <c r="A666" s="84" t="str">
        <f>LEFT(M666,4)</f>
        <v>6204</v>
      </c>
      <c r="B666" s="84" t="str">
        <f t="shared" si="10"/>
        <v>ПЛАТЬЕ Без товарного знака жен. Артикул 7030 цвет РАЗНОЦВЕТНЫЙ р. 52</v>
      </c>
      <c r="C666" s="69" t="s">
        <v>1690</v>
      </c>
      <c r="D666" s="69" t="s">
        <v>55</v>
      </c>
      <c r="E666" s="91" t="s">
        <v>1935</v>
      </c>
      <c r="F666" s="69" t="s">
        <v>1691</v>
      </c>
      <c r="G666" s="86" t="s">
        <v>229</v>
      </c>
      <c r="H666" s="69" t="s">
        <v>1692</v>
      </c>
      <c r="I666" s="69" t="s">
        <v>59</v>
      </c>
      <c r="J666" s="86">
        <v>52</v>
      </c>
      <c r="K666" s="86" t="s">
        <v>1693</v>
      </c>
      <c r="L666" s="86" t="s">
        <v>1693</v>
      </c>
      <c r="M666" s="94">
        <v>6204430000</v>
      </c>
      <c r="N666" s="7"/>
      <c r="O666" s="86" t="s">
        <v>94</v>
      </c>
      <c r="P666">
        <v>1</v>
      </c>
    </row>
    <row r="667" spans="1:16" customFormat="1" ht="15.75">
      <c r="A667" s="84" t="str">
        <f>LEFT(M667,4)</f>
        <v>6204</v>
      </c>
      <c r="B667" s="84" t="str">
        <f t="shared" si="10"/>
        <v>ПЛАТЬЕ Без товарного знака жен. Артикул 7030 цвет РАЗНОЦВЕТНЫЙ р. 56</v>
      </c>
      <c r="C667" s="69" t="s">
        <v>1690</v>
      </c>
      <c r="D667" s="69" t="s">
        <v>55</v>
      </c>
      <c r="E667" s="91" t="s">
        <v>1935</v>
      </c>
      <c r="F667" s="69" t="s">
        <v>1691</v>
      </c>
      <c r="G667" s="86" t="s">
        <v>229</v>
      </c>
      <c r="H667" s="69" t="s">
        <v>1692</v>
      </c>
      <c r="I667" s="69" t="s">
        <v>59</v>
      </c>
      <c r="J667" s="86">
        <v>56</v>
      </c>
      <c r="K667" s="86" t="s">
        <v>1693</v>
      </c>
      <c r="L667" s="86" t="s">
        <v>1693</v>
      </c>
      <c r="M667" s="94">
        <v>6204430000</v>
      </c>
      <c r="N667" s="7"/>
      <c r="O667" s="86" t="s">
        <v>94</v>
      </c>
      <c r="P667">
        <v>1</v>
      </c>
    </row>
    <row r="668" spans="1:16" customFormat="1" ht="15.75">
      <c r="A668" s="84" t="str">
        <f>LEFT(M668,4)</f>
        <v>6204</v>
      </c>
      <c r="B668" s="84" t="str">
        <f t="shared" si="10"/>
        <v>ПЛАТЬЕ Без товарного знака жен. Артикул 7754 цвет МЯТНЫЙ р. 46</v>
      </c>
      <c r="C668" s="69" t="s">
        <v>1690</v>
      </c>
      <c r="D668" s="69" t="s">
        <v>55</v>
      </c>
      <c r="E668" s="91" t="s">
        <v>1936</v>
      </c>
      <c r="F668" s="69" t="s">
        <v>1691</v>
      </c>
      <c r="G668" s="86" t="s">
        <v>205</v>
      </c>
      <c r="H668" s="69" t="s">
        <v>1692</v>
      </c>
      <c r="I668" s="69" t="s">
        <v>59</v>
      </c>
      <c r="J668" s="86">
        <v>46</v>
      </c>
      <c r="K668" s="86" t="s">
        <v>1693</v>
      </c>
      <c r="L668" s="86" t="s">
        <v>1693</v>
      </c>
      <c r="M668" s="94">
        <v>6204430000</v>
      </c>
      <c r="N668" s="7"/>
      <c r="O668" s="86" t="s">
        <v>94</v>
      </c>
      <c r="P668">
        <v>1</v>
      </c>
    </row>
    <row r="669" spans="1:16" customFormat="1" ht="15.75">
      <c r="A669" s="84" t="str">
        <f>LEFT(M669,4)</f>
        <v>6204</v>
      </c>
      <c r="B669" s="84" t="str">
        <f t="shared" si="10"/>
        <v>ПЛАТЬЕ Без товарного знака жен. Артикул 0021 цвет КРАСНЫЙ р. 44</v>
      </c>
      <c r="C669" s="69" t="s">
        <v>1690</v>
      </c>
      <c r="D669" s="69" t="s">
        <v>55</v>
      </c>
      <c r="E669" s="91" t="s">
        <v>1937</v>
      </c>
      <c r="F669" s="69" t="s">
        <v>1691</v>
      </c>
      <c r="G669" s="86" t="s">
        <v>180</v>
      </c>
      <c r="H669" s="69" t="s">
        <v>1692</v>
      </c>
      <c r="I669" s="69" t="s">
        <v>59</v>
      </c>
      <c r="J669" s="86">
        <v>44</v>
      </c>
      <c r="K669" s="86" t="s">
        <v>1693</v>
      </c>
      <c r="L669" s="86" t="s">
        <v>1693</v>
      </c>
      <c r="M669" s="94">
        <v>6204430000</v>
      </c>
      <c r="N669" s="7"/>
      <c r="O669" s="86" t="s">
        <v>94</v>
      </c>
      <c r="P669">
        <v>1</v>
      </c>
    </row>
    <row r="670" spans="1:16" customFormat="1" ht="15.75">
      <c r="A670" s="84" t="str">
        <f>LEFT(M670,4)</f>
        <v>6204</v>
      </c>
      <c r="B670" s="84" t="str">
        <f t="shared" si="10"/>
        <v>ПЛАТЬЕ Без товарного знака жен. Артикул 704 цвет СЕРЕБРЯНЫЙ р. 44</v>
      </c>
      <c r="C670" s="69" t="s">
        <v>1690</v>
      </c>
      <c r="D670" s="69" t="s">
        <v>55</v>
      </c>
      <c r="E670" s="91" t="s">
        <v>1938</v>
      </c>
      <c r="F670" s="69" t="s">
        <v>1691</v>
      </c>
      <c r="G670" s="86" t="s">
        <v>264</v>
      </c>
      <c r="H670" s="69" t="s">
        <v>1692</v>
      </c>
      <c r="I670" s="69" t="s">
        <v>59</v>
      </c>
      <c r="J670" s="86">
        <v>44</v>
      </c>
      <c r="K670" s="86" t="s">
        <v>1693</v>
      </c>
      <c r="L670" s="86" t="s">
        <v>1693</v>
      </c>
      <c r="M670" s="94">
        <v>6204430000</v>
      </c>
      <c r="N670" s="7"/>
      <c r="O670" s="86" t="s">
        <v>94</v>
      </c>
      <c r="P670">
        <v>1</v>
      </c>
    </row>
    <row r="671" spans="1:16" customFormat="1" ht="15.75">
      <c r="A671" s="84" t="str">
        <f>LEFT(M671,4)</f>
        <v>6204</v>
      </c>
      <c r="B671" s="84" t="str">
        <f t="shared" si="10"/>
        <v>ПЛАТЬЕ Без товарного знака жен. Артикул 704 цвет СЕРЕБРЯНЫЙ р. 48</v>
      </c>
      <c r="C671" s="69" t="s">
        <v>1690</v>
      </c>
      <c r="D671" s="69" t="s">
        <v>55</v>
      </c>
      <c r="E671" s="91" t="s">
        <v>1938</v>
      </c>
      <c r="F671" s="69" t="s">
        <v>1691</v>
      </c>
      <c r="G671" s="86" t="s">
        <v>264</v>
      </c>
      <c r="H671" s="69" t="s">
        <v>1692</v>
      </c>
      <c r="I671" s="69" t="s">
        <v>59</v>
      </c>
      <c r="J671" s="86">
        <v>48</v>
      </c>
      <c r="K671" s="86" t="s">
        <v>1693</v>
      </c>
      <c r="L671" s="86" t="s">
        <v>1693</v>
      </c>
      <c r="M671" s="94">
        <v>6204430000</v>
      </c>
      <c r="N671" s="7"/>
      <c r="O671" s="86" t="s">
        <v>94</v>
      </c>
      <c r="P671">
        <v>1</v>
      </c>
    </row>
    <row r="672" spans="1:16" customFormat="1" ht="15.75">
      <c r="A672" s="84" t="str">
        <f>LEFT(M672,4)</f>
        <v>6204</v>
      </c>
      <c r="B672" s="84" t="str">
        <f t="shared" si="10"/>
        <v>ПЛАТЬЕ Без товарного знака жен. Артикул 8603 цвет БЕЖЕВЫЙ р. 46</v>
      </c>
      <c r="C672" s="69" t="s">
        <v>1690</v>
      </c>
      <c r="D672" s="69" t="s">
        <v>55</v>
      </c>
      <c r="E672" s="91" t="s">
        <v>1939</v>
      </c>
      <c r="F672" s="69" t="s">
        <v>1691</v>
      </c>
      <c r="G672" s="86" t="s">
        <v>57</v>
      </c>
      <c r="H672" s="69" t="s">
        <v>1692</v>
      </c>
      <c r="I672" s="69" t="s">
        <v>59</v>
      </c>
      <c r="J672" s="86">
        <v>46</v>
      </c>
      <c r="K672" s="86" t="s">
        <v>1693</v>
      </c>
      <c r="L672" s="86" t="s">
        <v>1693</v>
      </c>
      <c r="M672" s="94">
        <v>6204430000</v>
      </c>
      <c r="N672" s="7"/>
      <c r="O672" s="86" t="s">
        <v>94</v>
      </c>
      <c r="P672">
        <v>1</v>
      </c>
    </row>
    <row r="673" spans="1:16" customFormat="1" ht="15.75">
      <c r="A673" s="84" t="str">
        <f>LEFT(M673,4)</f>
        <v>6204</v>
      </c>
      <c r="B673" s="84" t="str">
        <f t="shared" si="10"/>
        <v>ПЛАТЬЕ Без товарного знака жен. Артикул 8603 цвет БЕЖЕВЫЙ р. 48</v>
      </c>
      <c r="C673" s="69" t="s">
        <v>1690</v>
      </c>
      <c r="D673" s="69" t="s">
        <v>55</v>
      </c>
      <c r="E673" s="91" t="s">
        <v>1939</v>
      </c>
      <c r="F673" s="69" t="s">
        <v>1691</v>
      </c>
      <c r="G673" s="86" t="s">
        <v>57</v>
      </c>
      <c r="H673" s="69" t="s">
        <v>1692</v>
      </c>
      <c r="I673" s="69" t="s">
        <v>59</v>
      </c>
      <c r="J673" s="86">
        <v>48</v>
      </c>
      <c r="K673" s="86" t="s">
        <v>1693</v>
      </c>
      <c r="L673" s="86" t="s">
        <v>1693</v>
      </c>
      <c r="M673" s="94">
        <v>6204430000</v>
      </c>
      <c r="N673" s="7"/>
      <c r="O673" s="86" t="s">
        <v>94</v>
      </c>
      <c r="P673">
        <v>1</v>
      </c>
    </row>
    <row r="674" spans="1:16" customFormat="1" ht="15.75">
      <c r="A674" s="84" t="str">
        <f>LEFT(M674,4)</f>
        <v>6204</v>
      </c>
      <c r="B674" s="84" t="str">
        <f t="shared" si="10"/>
        <v>ПЛАТЬЕ Без товарного знака жен. Артикул 7395 цвет БЕЛЫЙ р. 54</v>
      </c>
      <c r="C674" s="69" t="s">
        <v>1690</v>
      </c>
      <c r="D674" s="69" t="s">
        <v>55</v>
      </c>
      <c r="E674" s="91" t="s">
        <v>1940</v>
      </c>
      <c r="F674" s="69" t="s">
        <v>1691</v>
      </c>
      <c r="G674" s="86" t="s">
        <v>98</v>
      </c>
      <c r="H674" s="69" t="s">
        <v>1692</v>
      </c>
      <c r="I674" s="69" t="s">
        <v>59</v>
      </c>
      <c r="J674" s="86">
        <v>54</v>
      </c>
      <c r="K674" s="86" t="s">
        <v>1693</v>
      </c>
      <c r="L674" s="86" t="s">
        <v>1693</v>
      </c>
      <c r="M674" s="94">
        <v>6204430000</v>
      </c>
      <c r="N674" s="7"/>
      <c r="O674" s="86" t="s">
        <v>94</v>
      </c>
      <c r="P674">
        <v>1</v>
      </c>
    </row>
    <row r="675" spans="1:16" customFormat="1" ht="15.75">
      <c r="A675" s="84" t="str">
        <f>LEFT(M675,4)</f>
        <v>6204</v>
      </c>
      <c r="B675" s="84" t="str">
        <f t="shared" si="10"/>
        <v>ПЛАТЬЕ Без товарного знака жен. Артикул 7517 цвет РАЗНОЦВЕТНЫЙ р. 46</v>
      </c>
      <c r="C675" s="69" t="s">
        <v>1690</v>
      </c>
      <c r="D675" s="69" t="s">
        <v>55</v>
      </c>
      <c r="E675" s="91" t="s">
        <v>1941</v>
      </c>
      <c r="F675" s="69" t="s">
        <v>1691</v>
      </c>
      <c r="G675" s="86" t="s">
        <v>229</v>
      </c>
      <c r="H675" s="69" t="s">
        <v>1692</v>
      </c>
      <c r="I675" s="69" t="s">
        <v>59</v>
      </c>
      <c r="J675" s="86">
        <v>46</v>
      </c>
      <c r="K675" s="86" t="s">
        <v>1693</v>
      </c>
      <c r="L675" s="86" t="s">
        <v>1693</v>
      </c>
      <c r="M675" s="94">
        <v>6204430000</v>
      </c>
      <c r="N675" s="7"/>
      <c r="O675" s="86" t="s">
        <v>94</v>
      </c>
      <c r="P675">
        <v>1</v>
      </c>
    </row>
    <row r="676" spans="1:16" customFormat="1" ht="15.75">
      <c r="A676" s="84" t="str">
        <f>LEFT(M676,4)</f>
        <v>6204</v>
      </c>
      <c r="B676" s="84" t="str">
        <f t="shared" si="10"/>
        <v>ПЛАТЬЕ Без товарного знака жен. Артикул 7303 цвет БЕЖЕВЫЙ р. 46</v>
      </c>
      <c r="C676" s="69" t="s">
        <v>1690</v>
      </c>
      <c r="D676" s="69" t="s">
        <v>55</v>
      </c>
      <c r="E676" s="91" t="s">
        <v>1942</v>
      </c>
      <c r="F676" s="69" t="s">
        <v>1691</v>
      </c>
      <c r="G676" s="86" t="s">
        <v>57</v>
      </c>
      <c r="H676" s="69" t="s">
        <v>1692</v>
      </c>
      <c r="I676" s="69" t="s">
        <v>59</v>
      </c>
      <c r="J676" s="86">
        <v>46</v>
      </c>
      <c r="K676" s="86" t="s">
        <v>1693</v>
      </c>
      <c r="L676" s="86" t="s">
        <v>1693</v>
      </c>
      <c r="M676" s="94">
        <v>6204430000</v>
      </c>
      <c r="N676" s="7"/>
      <c r="O676" s="86" t="s">
        <v>94</v>
      </c>
      <c r="P676">
        <v>1</v>
      </c>
    </row>
    <row r="677" spans="1:16" customFormat="1" ht="15.75">
      <c r="A677" s="84" t="str">
        <f>LEFT(M677,4)</f>
        <v>6204</v>
      </c>
      <c r="B677" s="84" t="str">
        <f t="shared" si="10"/>
        <v>ПЛАТЬЕ Без товарного знака жен. Артикул 7303 цвет БЕЖЕВЫЙ р. 48</v>
      </c>
      <c r="C677" s="69" t="s">
        <v>1690</v>
      </c>
      <c r="D677" s="69" t="s">
        <v>55</v>
      </c>
      <c r="E677" s="91" t="s">
        <v>1942</v>
      </c>
      <c r="F677" s="69" t="s">
        <v>1691</v>
      </c>
      <c r="G677" s="86" t="s">
        <v>57</v>
      </c>
      <c r="H677" s="69" t="s">
        <v>1692</v>
      </c>
      <c r="I677" s="69" t="s">
        <v>59</v>
      </c>
      <c r="J677" s="86">
        <v>48</v>
      </c>
      <c r="K677" s="86" t="s">
        <v>1693</v>
      </c>
      <c r="L677" s="86" t="s">
        <v>1693</v>
      </c>
      <c r="M677" s="94">
        <v>6204430000</v>
      </c>
      <c r="N677" s="7"/>
      <c r="O677" s="86" t="s">
        <v>94</v>
      </c>
      <c r="P677">
        <v>1</v>
      </c>
    </row>
    <row r="678" spans="1:16" customFormat="1" ht="15.75">
      <c r="A678" s="84" t="str">
        <f>LEFT(M678,4)</f>
        <v>6204</v>
      </c>
      <c r="B678" s="84" t="str">
        <f t="shared" si="10"/>
        <v>ПЛАТЬЕ Без товарного знака жен. Артикул 7303 цвет БЕЖЕВЫЙ р. 50</v>
      </c>
      <c r="C678" s="69" t="s">
        <v>1690</v>
      </c>
      <c r="D678" s="69" t="s">
        <v>55</v>
      </c>
      <c r="E678" s="91" t="s">
        <v>1942</v>
      </c>
      <c r="F678" s="69" t="s">
        <v>1691</v>
      </c>
      <c r="G678" s="86" t="s">
        <v>57</v>
      </c>
      <c r="H678" s="69" t="s">
        <v>1692</v>
      </c>
      <c r="I678" s="69" t="s">
        <v>59</v>
      </c>
      <c r="J678" s="86">
        <v>50</v>
      </c>
      <c r="K678" s="86" t="s">
        <v>1693</v>
      </c>
      <c r="L678" s="86" t="s">
        <v>1693</v>
      </c>
      <c r="M678" s="94">
        <v>6204430000</v>
      </c>
      <c r="N678" s="7"/>
      <c r="O678" s="86" t="s">
        <v>94</v>
      </c>
      <c r="P678">
        <v>1</v>
      </c>
    </row>
    <row r="679" spans="1:16" customFormat="1" ht="15.75">
      <c r="A679" s="84" t="str">
        <f>LEFT(M679,4)</f>
        <v>6204</v>
      </c>
      <c r="B679" s="84" t="str">
        <f t="shared" si="10"/>
        <v>ПЛАТЬЕ Без товарного знака жен. Артикул 7303 цвет БЕЖЕВЫЙ р. 52</v>
      </c>
      <c r="C679" s="69" t="s">
        <v>1690</v>
      </c>
      <c r="D679" s="69" t="s">
        <v>55</v>
      </c>
      <c r="E679" s="91" t="s">
        <v>1942</v>
      </c>
      <c r="F679" s="69" t="s">
        <v>1691</v>
      </c>
      <c r="G679" s="86" t="s">
        <v>57</v>
      </c>
      <c r="H679" s="69" t="s">
        <v>1692</v>
      </c>
      <c r="I679" s="69" t="s">
        <v>59</v>
      </c>
      <c r="J679" s="86">
        <v>52</v>
      </c>
      <c r="K679" s="86" t="s">
        <v>1693</v>
      </c>
      <c r="L679" s="86" t="s">
        <v>1693</v>
      </c>
      <c r="M679" s="94">
        <v>6204430000</v>
      </c>
      <c r="N679" s="7"/>
      <c r="O679" s="86" t="s">
        <v>94</v>
      </c>
      <c r="P679">
        <v>1</v>
      </c>
    </row>
    <row r="680" spans="1:16" customFormat="1" ht="15.75">
      <c r="A680" s="84" t="str">
        <f>LEFT(M680,4)</f>
        <v>6204</v>
      </c>
      <c r="B680" s="84" t="str">
        <f t="shared" si="10"/>
        <v>ПЛАТЬЕ Без товарного знака жен. Артикул 7303 цвет БЕЖЕВЫЙ р. 54</v>
      </c>
      <c r="C680" s="69" t="s">
        <v>1690</v>
      </c>
      <c r="D680" s="69" t="s">
        <v>55</v>
      </c>
      <c r="E680" s="91" t="s">
        <v>1942</v>
      </c>
      <c r="F680" s="69" t="s">
        <v>1691</v>
      </c>
      <c r="G680" s="86" t="s">
        <v>57</v>
      </c>
      <c r="H680" s="69" t="s">
        <v>1692</v>
      </c>
      <c r="I680" s="69" t="s">
        <v>59</v>
      </c>
      <c r="J680" s="86">
        <v>54</v>
      </c>
      <c r="K680" s="86" t="s">
        <v>1693</v>
      </c>
      <c r="L680" s="86" t="s">
        <v>1693</v>
      </c>
      <c r="M680" s="94">
        <v>6204430000</v>
      </c>
      <c r="N680" s="7"/>
      <c r="O680" s="86" t="s">
        <v>94</v>
      </c>
      <c r="P680">
        <v>1</v>
      </c>
    </row>
    <row r="681" spans="1:16" customFormat="1" ht="15.75">
      <c r="A681" s="84" t="str">
        <f>LEFT(M681,4)</f>
        <v>6204</v>
      </c>
      <c r="B681" s="84" t="str">
        <f t="shared" si="10"/>
        <v>ПЛАТЬЕ Без товарного знака жен. Артикул 1273 цвет РАЗНОЦВЕТНЫЙ р. 44</v>
      </c>
      <c r="C681" s="69" t="s">
        <v>1690</v>
      </c>
      <c r="D681" s="69" t="s">
        <v>55</v>
      </c>
      <c r="E681" s="91" t="s">
        <v>1906</v>
      </c>
      <c r="F681" s="69" t="s">
        <v>1691</v>
      </c>
      <c r="G681" s="86" t="s">
        <v>229</v>
      </c>
      <c r="H681" s="69" t="s">
        <v>1692</v>
      </c>
      <c r="I681" s="69" t="s">
        <v>59</v>
      </c>
      <c r="J681" s="86">
        <v>44</v>
      </c>
      <c r="K681" s="86" t="s">
        <v>1693</v>
      </c>
      <c r="L681" s="86" t="s">
        <v>1693</v>
      </c>
      <c r="M681" s="94">
        <v>6204430000</v>
      </c>
      <c r="N681" s="7"/>
      <c r="O681" s="86" t="s">
        <v>94</v>
      </c>
      <c r="P681">
        <v>1</v>
      </c>
    </row>
    <row r="682" spans="1:16" customFormat="1" ht="15.75">
      <c r="A682" s="84" t="str">
        <f>LEFT(M682,4)</f>
        <v>6204</v>
      </c>
      <c r="B682" s="84" t="str">
        <f t="shared" si="10"/>
        <v>ПЛАТЬЕ Без товарного знака жен. Артикул 1273 цвет РАЗНОЦВЕТНЫЙ р. 46</v>
      </c>
      <c r="C682" s="69" t="s">
        <v>1690</v>
      </c>
      <c r="D682" s="69" t="s">
        <v>55</v>
      </c>
      <c r="E682" s="91" t="s">
        <v>1906</v>
      </c>
      <c r="F682" s="69" t="s">
        <v>1691</v>
      </c>
      <c r="G682" s="86" t="s">
        <v>229</v>
      </c>
      <c r="H682" s="69" t="s">
        <v>1692</v>
      </c>
      <c r="I682" s="69" t="s">
        <v>59</v>
      </c>
      <c r="J682" s="86">
        <v>46</v>
      </c>
      <c r="K682" s="86" t="s">
        <v>1693</v>
      </c>
      <c r="L682" s="86" t="s">
        <v>1693</v>
      </c>
      <c r="M682" s="94">
        <v>6204430000</v>
      </c>
      <c r="N682" s="7"/>
      <c r="O682" s="86" t="s">
        <v>94</v>
      </c>
      <c r="P682">
        <v>1</v>
      </c>
    </row>
    <row r="683" spans="1:16" customFormat="1" ht="15.75">
      <c r="A683" s="84" t="str">
        <f>LEFT(M683,4)</f>
        <v>6204</v>
      </c>
      <c r="B683" s="84" t="str">
        <f t="shared" si="10"/>
        <v>ПЛАТЬЕ Без товарного знака жен. Артикул 1273 цвет РАЗНОЦВЕТНЫЙ р. 48</v>
      </c>
      <c r="C683" s="69" t="s">
        <v>1690</v>
      </c>
      <c r="D683" s="69" t="s">
        <v>55</v>
      </c>
      <c r="E683" s="91" t="s">
        <v>1906</v>
      </c>
      <c r="F683" s="69" t="s">
        <v>1691</v>
      </c>
      <c r="G683" s="86" t="s">
        <v>229</v>
      </c>
      <c r="H683" s="69" t="s">
        <v>1692</v>
      </c>
      <c r="I683" s="69" t="s">
        <v>59</v>
      </c>
      <c r="J683" s="86">
        <v>48</v>
      </c>
      <c r="K683" s="86" t="s">
        <v>1693</v>
      </c>
      <c r="L683" s="86" t="s">
        <v>1693</v>
      </c>
      <c r="M683" s="94">
        <v>6204430000</v>
      </c>
      <c r="N683" s="7"/>
      <c r="O683" s="86" t="s">
        <v>94</v>
      </c>
      <c r="P683">
        <v>1</v>
      </c>
    </row>
    <row r="684" spans="1:16" customFormat="1" ht="15.75">
      <c r="A684" s="84" t="str">
        <f>LEFT(M684,4)</f>
        <v>6204</v>
      </c>
      <c r="B684" s="84" t="str">
        <f t="shared" si="10"/>
        <v>ПЛАТЬЕ Без товарного знака жен. Артикул 1613 цвет БЕЛЫЙ р. 42</v>
      </c>
      <c r="C684" s="69" t="s">
        <v>1690</v>
      </c>
      <c r="D684" s="69" t="s">
        <v>55</v>
      </c>
      <c r="E684" s="91" t="s">
        <v>1943</v>
      </c>
      <c r="F684" s="69" t="s">
        <v>1691</v>
      </c>
      <c r="G684" s="86" t="s">
        <v>98</v>
      </c>
      <c r="H684" s="69" t="s">
        <v>1692</v>
      </c>
      <c r="I684" s="69" t="s">
        <v>59</v>
      </c>
      <c r="J684" s="86">
        <v>42</v>
      </c>
      <c r="K684" s="86" t="s">
        <v>1868</v>
      </c>
      <c r="L684" s="86" t="s">
        <v>1868</v>
      </c>
      <c r="M684" s="94">
        <v>6204430000</v>
      </c>
      <c r="N684" s="7"/>
      <c r="O684" s="86" t="s">
        <v>94</v>
      </c>
      <c r="P684">
        <v>1</v>
      </c>
    </row>
    <row r="685" spans="1:16" customFormat="1" ht="15.75">
      <c r="A685" s="84" t="str">
        <f>LEFT(M685,4)</f>
        <v>6204</v>
      </c>
      <c r="B685" s="84" t="str">
        <f t="shared" si="10"/>
        <v>ПЛАТЬЕ Без товарного знака жен. Артикул 1613 цвет БЕЛЫЙ р. 44</v>
      </c>
      <c r="C685" s="69" t="s">
        <v>1690</v>
      </c>
      <c r="D685" s="69" t="s">
        <v>55</v>
      </c>
      <c r="E685" s="91" t="s">
        <v>1943</v>
      </c>
      <c r="F685" s="69" t="s">
        <v>1691</v>
      </c>
      <c r="G685" s="86" t="s">
        <v>98</v>
      </c>
      <c r="H685" s="69" t="s">
        <v>1692</v>
      </c>
      <c r="I685" s="69" t="s">
        <v>59</v>
      </c>
      <c r="J685" s="86">
        <v>44</v>
      </c>
      <c r="K685" s="86" t="s">
        <v>1868</v>
      </c>
      <c r="L685" s="86" t="s">
        <v>1868</v>
      </c>
      <c r="M685" s="94">
        <v>6204430000</v>
      </c>
      <c r="N685" s="7"/>
      <c r="O685" s="86" t="s">
        <v>94</v>
      </c>
      <c r="P685">
        <v>1</v>
      </c>
    </row>
    <row r="686" spans="1:16" customFormat="1" ht="15.75">
      <c r="A686" s="84" t="str">
        <f>LEFT(M686,4)</f>
        <v>6204</v>
      </c>
      <c r="B686" s="84" t="str">
        <f t="shared" si="10"/>
        <v>ПЛАТЬЕ Без товарного знака жен. Артикул 7000 цвет РАЗНОЦВЕТНЫЙ р. 44</v>
      </c>
      <c r="C686" s="69" t="s">
        <v>1690</v>
      </c>
      <c r="D686" s="69" t="s">
        <v>55</v>
      </c>
      <c r="E686" s="91" t="s">
        <v>1944</v>
      </c>
      <c r="F686" s="69" t="s">
        <v>1691</v>
      </c>
      <c r="G686" s="86" t="s">
        <v>229</v>
      </c>
      <c r="H686" s="69" t="s">
        <v>1692</v>
      </c>
      <c r="I686" s="69" t="s">
        <v>59</v>
      </c>
      <c r="J686" s="86">
        <v>44</v>
      </c>
      <c r="K686" s="86" t="s">
        <v>1922</v>
      </c>
      <c r="L686" s="86" t="s">
        <v>1922</v>
      </c>
      <c r="M686" s="94">
        <v>6204440000</v>
      </c>
      <c r="N686" s="7"/>
      <c r="O686" s="86" t="s">
        <v>94</v>
      </c>
      <c r="P686">
        <v>1</v>
      </c>
    </row>
    <row r="687" spans="1:16" customFormat="1" ht="15.75">
      <c r="A687" s="84" t="str">
        <f>LEFT(M687,4)</f>
        <v>6204</v>
      </c>
      <c r="B687" s="84" t="str">
        <f t="shared" si="10"/>
        <v>ПЛАТЬЕ Без товарного знака жен. Артикул 7000 цвет БЕЛЫЙ р. 48</v>
      </c>
      <c r="C687" s="69" t="s">
        <v>1690</v>
      </c>
      <c r="D687" s="69" t="s">
        <v>55</v>
      </c>
      <c r="E687" s="91" t="s">
        <v>1944</v>
      </c>
      <c r="F687" s="69" t="s">
        <v>1691</v>
      </c>
      <c r="G687" s="86" t="s">
        <v>98</v>
      </c>
      <c r="H687" s="69" t="s">
        <v>1692</v>
      </c>
      <c r="I687" s="69" t="s">
        <v>59</v>
      </c>
      <c r="J687" s="86">
        <v>48</v>
      </c>
      <c r="K687" s="86" t="s">
        <v>1922</v>
      </c>
      <c r="L687" s="86" t="s">
        <v>1922</v>
      </c>
      <c r="M687" s="94">
        <v>6204440000</v>
      </c>
      <c r="N687" s="7"/>
      <c r="O687" s="86" t="s">
        <v>94</v>
      </c>
      <c r="P687">
        <v>1</v>
      </c>
    </row>
    <row r="688" spans="1:16" customFormat="1" ht="15.75">
      <c r="A688" s="84" t="str">
        <f>LEFT(M688,4)</f>
        <v>6204</v>
      </c>
      <c r="B688" s="84" t="str">
        <f t="shared" si="10"/>
        <v>ПЛАТЬЕ Без товарного знака жен. Артикул 1805 цвет РАЗНОЦВЕТНЫЙ р. 44</v>
      </c>
      <c r="C688" s="69" t="s">
        <v>1690</v>
      </c>
      <c r="D688" s="69" t="s">
        <v>55</v>
      </c>
      <c r="E688" s="91" t="s">
        <v>1945</v>
      </c>
      <c r="F688" s="69" t="s">
        <v>1691</v>
      </c>
      <c r="G688" s="86" t="s">
        <v>229</v>
      </c>
      <c r="H688" s="69" t="s">
        <v>1692</v>
      </c>
      <c r="I688" s="69" t="s">
        <v>59</v>
      </c>
      <c r="J688" s="86">
        <v>44</v>
      </c>
      <c r="K688" s="86" t="s">
        <v>1946</v>
      </c>
      <c r="L688" s="86" t="s">
        <v>1946</v>
      </c>
      <c r="M688" s="94">
        <v>6204440000</v>
      </c>
      <c r="N688" s="7"/>
      <c r="O688" s="86" t="s">
        <v>94</v>
      </c>
      <c r="P688">
        <v>1</v>
      </c>
    </row>
    <row r="689" spans="1:16" customFormat="1" ht="15.75">
      <c r="A689" s="84" t="str">
        <f>LEFT(M689,4)</f>
        <v>6204</v>
      </c>
      <c r="B689" s="84" t="str">
        <f t="shared" si="10"/>
        <v>ПЛАТЬЕ Без товарного знака жен. Артикул 1805 цвет РАЗНОЦВЕТНЫЙ р. 46</v>
      </c>
      <c r="C689" s="69" t="s">
        <v>1690</v>
      </c>
      <c r="D689" s="69" t="s">
        <v>55</v>
      </c>
      <c r="E689" s="91" t="s">
        <v>1945</v>
      </c>
      <c r="F689" s="69" t="s">
        <v>1691</v>
      </c>
      <c r="G689" s="86" t="s">
        <v>229</v>
      </c>
      <c r="H689" s="69" t="s">
        <v>1692</v>
      </c>
      <c r="I689" s="69" t="s">
        <v>59</v>
      </c>
      <c r="J689" s="86">
        <v>46</v>
      </c>
      <c r="K689" s="86" t="s">
        <v>1946</v>
      </c>
      <c r="L689" s="86" t="s">
        <v>1946</v>
      </c>
      <c r="M689" s="94">
        <v>6204440000</v>
      </c>
      <c r="N689" s="7"/>
      <c r="O689" s="86" t="s">
        <v>94</v>
      </c>
      <c r="P689">
        <v>1</v>
      </c>
    </row>
    <row r="690" spans="1:16" customFormat="1" ht="15.75">
      <c r="A690" s="84" t="str">
        <f>LEFT(M690,4)</f>
        <v>6204</v>
      </c>
      <c r="B690" s="84" t="str">
        <f t="shared" si="10"/>
        <v>ПЛАТЬЕ Без товарного знака жен. Артикул 1277 цвет БЕЖЕВЫЙ р. 44</v>
      </c>
      <c r="C690" s="69" t="s">
        <v>1690</v>
      </c>
      <c r="D690" s="69" t="s">
        <v>55</v>
      </c>
      <c r="E690" s="91" t="s">
        <v>1947</v>
      </c>
      <c r="F690" s="69" t="s">
        <v>1691</v>
      </c>
      <c r="G690" s="86" t="s">
        <v>57</v>
      </c>
      <c r="H690" s="69" t="s">
        <v>1692</v>
      </c>
      <c r="I690" s="69" t="s">
        <v>59</v>
      </c>
      <c r="J690" s="86">
        <v>44</v>
      </c>
      <c r="K690" s="86" t="s">
        <v>1693</v>
      </c>
      <c r="L690" s="86" t="s">
        <v>1693</v>
      </c>
      <c r="M690" s="94">
        <v>6204430000</v>
      </c>
      <c r="N690" s="7"/>
      <c r="O690" s="86" t="s">
        <v>94</v>
      </c>
      <c r="P690">
        <v>1</v>
      </c>
    </row>
    <row r="691" spans="1:16" customFormat="1" ht="15.75">
      <c r="A691" s="84" t="str">
        <f>LEFT(M691,4)</f>
        <v>6204</v>
      </c>
      <c r="B691" s="84" t="str">
        <f t="shared" si="10"/>
        <v>ПЛАТЬЕ Без товарного знака жен. Артикул 1722 цвет МОЛОЧННЫЙ р. 42</v>
      </c>
      <c r="C691" s="69" t="s">
        <v>1690</v>
      </c>
      <c r="D691" s="69" t="s">
        <v>55</v>
      </c>
      <c r="E691" s="91" t="s">
        <v>1948</v>
      </c>
      <c r="F691" s="69" t="s">
        <v>1691</v>
      </c>
      <c r="G691" s="86" t="s">
        <v>1949</v>
      </c>
      <c r="H691" s="69" t="s">
        <v>1692</v>
      </c>
      <c r="I691" s="69" t="s">
        <v>59</v>
      </c>
      <c r="J691" s="86">
        <v>42</v>
      </c>
      <c r="K691" s="86" t="s">
        <v>1693</v>
      </c>
      <c r="L691" s="86" t="s">
        <v>1693</v>
      </c>
      <c r="M691" s="94">
        <v>6204430000</v>
      </c>
      <c r="N691" s="7"/>
      <c r="O691" s="86" t="s">
        <v>94</v>
      </c>
      <c r="P691">
        <v>1</v>
      </c>
    </row>
    <row r="692" spans="1:16" customFormat="1" ht="15.75">
      <c r="A692" s="84" t="str">
        <f>LEFT(M692,4)</f>
        <v>6204</v>
      </c>
      <c r="B692" s="84" t="str">
        <f t="shared" si="10"/>
        <v>ПЛАТЬЕ Без товарного знака жен. Артикул 4664 цвет БЕЛЫЙ р. 48</v>
      </c>
      <c r="C692" s="69" t="s">
        <v>1690</v>
      </c>
      <c r="D692" s="69" t="s">
        <v>55</v>
      </c>
      <c r="E692" s="91" t="s">
        <v>1950</v>
      </c>
      <c r="F692" s="69" t="s">
        <v>1691</v>
      </c>
      <c r="G692" s="86" t="s">
        <v>98</v>
      </c>
      <c r="H692" s="69" t="s">
        <v>1692</v>
      </c>
      <c r="I692" s="69" t="s">
        <v>59</v>
      </c>
      <c r="J692" s="86">
        <v>48</v>
      </c>
      <c r="K692" s="86" t="s">
        <v>1693</v>
      </c>
      <c r="L692" s="86" t="s">
        <v>1693</v>
      </c>
      <c r="M692" s="94">
        <v>6204430000</v>
      </c>
      <c r="N692" s="7"/>
      <c r="O692" s="86" t="s">
        <v>94</v>
      </c>
      <c r="P692">
        <v>1</v>
      </c>
    </row>
    <row r="693" spans="1:16" customFormat="1" ht="15.75">
      <c r="A693" s="84" t="str">
        <f>LEFT(M693,4)</f>
        <v>6204</v>
      </c>
      <c r="B693" s="84" t="str">
        <f t="shared" si="10"/>
        <v>ПЛАТЬЕ Без товарного знака жен. Артикул 426 цвет БЕЛЫЙ р. 52</v>
      </c>
      <c r="C693" s="69" t="s">
        <v>1690</v>
      </c>
      <c r="D693" s="69" t="s">
        <v>55</v>
      </c>
      <c r="E693" s="91" t="s">
        <v>1951</v>
      </c>
      <c r="F693" s="69" t="s">
        <v>1691</v>
      </c>
      <c r="G693" s="86" t="s">
        <v>98</v>
      </c>
      <c r="H693" s="69" t="s">
        <v>1692</v>
      </c>
      <c r="I693" s="69" t="s">
        <v>59</v>
      </c>
      <c r="J693" s="86">
        <v>52</v>
      </c>
      <c r="K693" s="86" t="s">
        <v>1693</v>
      </c>
      <c r="L693" s="86" t="s">
        <v>1693</v>
      </c>
      <c r="M693" s="94">
        <v>6204430000</v>
      </c>
      <c r="N693" s="7"/>
      <c r="O693" s="86" t="s">
        <v>94</v>
      </c>
      <c r="P693">
        <v>1</v>
      </c>
    </row>
    <row r="694" spans="1:16" customFormat="1" ht="15.75">
      <c r="A694" s="84" t="str">
        <f>LEFT(M694,4)</f>
        <v>6204</v>
      </c>
      <c r="B694" s="84" t="str">
        <f t="shared" si="10"/>
        <v>ПЛАТЬЕ Без товарного знака жен. Артикул 426 цвет БЕЛЫЙ р. 54</v>
      </c>
      <c r="C694" s="69" t="s">
        <v>1690</v>
      </c>
      <c r="D694" s="69" t="s">
        <v>55</v>
      </c>
      <c r="E694" s="91" t="s">
        <v>1951</v>
      </c>
      <c r="F694" s="69" t="s">
        <v>1691</v>
      </c>
      <c r="G694" s="86" t="s">
        <v>98</v>
      </c>
      <c r="H694" s="69" t="s">
        <v>1692</v>
      </c>
      <c r="I694" s="69" t="s">
        <v>59</v>
      </c>
      <c r="J694" s="86">
        <v>54</v>
      </c>
      <c r="K694" s="86" t="s">
        <v>1693</v>
      </c>
      <c r="L694" s="86" t="s">
        <v>1693</v>
      </c>
      <c r="M694" s="94">
        <v>6204430000</v>
      </c>
      <c r="N694" s="7"/>
      <c r="O694" s="86" t="s">
        <v>94</v>
      </c>
      <c r="P694">
        <v>1</v>
      </c>
    </row>
    <row r="695" spans="1:16" customFormat="1" ht="15.75">
      <c r="A695" s="84" t="str">
        <f>LEFT(M695,4)</f>
        <v>6204</v>
      </c>
      <c r="B695" s="84" t="str">
        <f t="shared" si="10"/>
        <v>ПЛАТЬЕ Без товарного знака жен. Артикул 4672 цвет БЕЖЕВЫЙ р. 46</v>
      </c>
      <c r="C695" s="69" t="s">
        <v>1690</v>
      </c>
      <c r="D695" s="69" t="s">
        <v>55</v>
      </c>
      <c r="E695" s="91" t="s">
        <v>1952</v>
      </c>
      <c r="F695" s="69" t="s">
        <v>1691</v>
      </c>
      <c r="G695" s="86" t="s">
        <v>57</v>
      </c>
      <c r="H695" s="69" t="s">
        <v>1692</v>
      </c>
      <c r="I695" s="69" t="s">
        <v>59</v>
      </c>
      <c r="J695" s="86">
        <v>46</v>
      </c>
      <c r="K695" s="86" t="s">
        <v>1693</v>
      </c>
      <c r="L695" s="86" t="s">
        <v>1693</v>
      </c>
      <c r="M695" s="94">
        <v>6204430000</v>
      </c>
      <c r="N695" s="7"/>
      <c r="O695" s="86" t="s">
        <v>94</v>
      </c>
      <c r="P695">
        <v>1</v>
      </c>
    </row>
    <row r="696" spans="1:16" customFormat="1" ht="15.75">
      <c r="A696" s="84" t="str">
        <f>LEFT(M696,4)</f>
        <v>6204</v>
      </c>
      <c r="B696" s="84" t="str">
        <f t="shared" si="10"/>
        <v>ПЛАТЬЕ Без товарного знака жен. Артикул 3025 цвет БЕЛЫЙ р. 46</v>
      </c>
      <c r="C696" s="69" t="s">
        <v>1690</v>
      </c>
      <c r="D696" s="69" t="s">
        <v>55</v>
      </c>
      <c r="E696" s="91" t="s">
        <v>1953</v>
      </c>
      <c r="F696" s="69" t="s">
        <v>1691</v>
      </c>
      <c r="G696" s="86" t="s">
        <v>98</v>
      </c>
      <c r="H696" s="69" t="s">
        <v>1692</v>
      </c>
      <c r="I696" s="69" t="s">
        <v>59</v>
      </c>
      <c r="J696" s="86">
        <v>46</v>
      </c>
      <c r="K696" s="86" t="s">
        <v>1693</v>
      </c>
      <c r="L696" s="86" t="s">
        <v>1693</v>
      </c>
      <c r="M696" s="94">
        <v>6204430000</v>
      </c>
      <c r="N696" s="7"/>
      <c r="O696" s="86" t="s">
        <v>94</v>
      </c>
      <c r="P696">
        <v>1</v>
      </c>
    </row>
    <row r="697" spans="1:16" customFormat="1" ht="15.75">
      <c r="A697" s="84" t="str">
        <f>LEFT(M697,4)</f>
        <v>6204</v>
      </c>
      <c r="B697" s="84" t="str">
        <f t="shared" si="10"/>
        <v>ПЛАТЬЕ Без товарного знака жен. Артикул 3025 цвет БЕЛЫЙ р. 48</v>
      </c>
      <c r="C697" s="69" t="s">
        <v>1690</v>
      </c>
      <c r="D697" s="69" t="s">
        <v>55</v>
      </c>
      <c r="E697" s="91" t="s">
        <v>1953</v>
      </c>
      <c r="F697" s="69" t="s">
        <v>1691</v>
      </c>
      <c r="G697" s="86" t="s">
        <v>98</v>
      </c>
      <c r="H697" s="69" t="s">
        <v>1692</v>
      </c>
      <c r="I697" s="69" t="s">
        <v>59</v>
      </c>
      <c r="J697" s="86">
        <v>48</v>
      </c>
      <c r="K697" s="86" t="s">
        <v>1693</v>
      </c>
      <c r="L697" s="86" t="s">
        <v>1693</v>
      </c>
      <c r="M697" s="94">
        <v>6204430000</v>
      </c>
      <c r="N697" s="7"/>
      <c r="O697" s="86" t="s">
        <v>94</v>
      </c>
      <c r="P697">
        <v>1</v>
      </c>
    </row>
    <row r="698" spans="1:16" customFormat="1" ht="15.75">
      <c r="A698" s="84" t="str">
        <f>LEFT(M698,4)</f>
        <v>6204</v>
      </c>
      <c r="B698" s="84" t="str">
        <f t="shared" ref="B698:B713" si="11">CONCATENATE(F698," ", C698," ",H698," ",D698," ", E698, " цвет ", G698, " р. ", J698)</f>
        <v>ПЛАТЬЕ Без товарного знака жен. Артикул 3025 цвет БЕЛЫЙ р. 50</v>
      </c>
      <c r="C698" s="69" t="s">
        <v>1690</v>
      </c>
      <c r="D698" s="69" t="s">
        <v>55</v>
      </c>
      <c r="E698" s="91" t="s">
        <v>1953</v>
      </c>
      <c r="F698" s="69" t="s">
        <v>1691</v>
      </c>
      <c r="G698" s="86" t="s">
        <v>98</v>
      </c>
      <c r="H698" s="69" t="s">
        <v>1692</v>
      </c>
      <c r="I698" s="69" t="s">
        <v>59</v>
      </c>
      <c r="J698" s="86">
        <v>50</v>
      </c>
      <c r="K698" s="86" t="s">
        <v>1693</v>
      </c>
      <c r="L698" s="86" t="s">
        <v>1693</v>
      </c>
      <c r="M698" s="94">
        <v>6204430000</v>
      </c>
      <c r="N698" s="7"/>
      <c r="O698" s="86" t="s">
        <v>94</v>
      </c>
      <c r="P698">
        <v>1</v>
      </c>
    </row>
    <row r="699" spans="1:16" customFormat="1" ht="15.75">
      <c r="A699" s="84" t="str">
        <f>LEFT(M699,4)</f>
        <v>6204</v>
      </c>
      <c r="B699" s="84" t="str">
        <f t="shared" si="11"/>
        <v>ПЛАТЬЕ Без товарного знака жен. Артикул 3025 цвет БЕЛЫЙ р. 52</v>
      </c>
      <c r="C699" s="69" t="s">
        <v>1690</v>
      </c>
      <c r="D699" s="69" t="s">
        <v>55</v>
      </c>
      <c r="E699" s="91" t="s">
        <v>1953</v>
      </c>
      <c r="F699" s="69" t="s">
        <v>1691</v>
      </c>
      <c r="G699" s="86" t="s">
        <v>98</v>
      </c>
      <c r="H699" s="69" t="s">
        <v>1692</v>
      </c>
      <c r="I699" s="69" t="s">
        <v>59</v>
      </c>
      <c r="J699" s="86">
        <v>52</v>
      </c>
      <c r="K699" s="86" t="s">
        <v>1693</v>
      </c>
      <c r="L699" s="86" t="s">
        <v>1693</v>
      </c>
      <c r="M699" s="94">
        <v>6204430000</v>
      </c>
      <c r="N699" s="7"/>
      <c r="O699" s="86" t="s">
        <v>94</v>
      </c>
      <c r="P699">
        <v>1</v>
      </c>
    </row>
    <row r="700" spans="1:16" customFormat="1" ht="15.75">
      <c r="A700" s="84" t="str">
        <f>LEFT(M700,4)</f>
        <v>6204</v>
      </c>
      <c r="B700" s="84" t="str">
        <f t="shared" si="11"/>
        <v>ПЛАТЬЕ Без товарного знака жен. Артикул 3025 цвет БЕЛЫЙ р. 54</v>
      </c>
      <c r="C700" s="69" t="s">
        <v>1690</v>
      </c>
      <c r="D700" s="69" t="s">
        <v>55</v>
      </c>
      <c r="E700" s="91" t="s">
        <v>1953</v>
      </c>
      <c r="F700" s="69" t="s">
        <v>1691</v>
      </c>
      <c r="G700" s="86" t="s">
        <v>98</v>
      </c>
      <c r="H700" s="69" t="s">
        <v>1692</v>
      </c>
      <c r="I700" s="69" t="s">
        <v>59</v>
      </c>
      <c r="J700" s="86">
        <v>54</v>
      </c>
      <c r="K700" s="86" t="s">
        <v>1693</v>
      </c>
      <c r="L700" s="86" t="s">
        <v>1693</v>
      </c>
      <c r="M700" s="94">
        <v>6204430000</v>
      </c>
      <c r="N700" s="7"/>
      <c r="O700" s="86" t="s">
        <v>94</v>
      </c>
      <c r="P700">
        <v>1</v>
      </c>
    </row>
    <row r="701" spans="1:16" customFormat="1" ht="15.75">
      <c r="A701" s="84" t="str">
        <f>LEFT(M701,4)</f>
        <v>6204</v>
      </c>
      <c r="B701" s="84" t="str">
        <f t="shared" si="11"/>
        <v>ПЛАТЬЕ Без товарного знака жен. Артикул 0128341 цвет БЕЛЫЙ р. 46</v>
      </c>
      <c r="C701" s="69" t="s">
        <v>1690</v>
      </c>
      <c r="D701" s="69" t="s">
        <v>55</v>
      </c>
      <c r="E701" s="91" t="s">
        <v>1954</v>
      </c>
      <c r="F701" s="69" t="s">
        <v>1691</v>
      </c>
      <c r="G701" s="86" t="s">
        <v>98</v>
      </c>
      <c r="H701" s="69" t="s">
        <v>1692</v>
      </c>
      <c r="I701" s="69" t="s">
        <v>59</v>
      </c>
      <c r="J701" s="86">
        <v>46</v>
      </c>
      <c r="K701" s="86" t="s">
        <v>1750</v>
      </c>
      <c r="L701" s="86" t="s">
        <v>1750</v>
      </c>
      <c r="M701" s="94">
        <v>6204430000</v>
      </c>
      <c r="N701" s="7"/>
      <c r="O701" s="86" t="s">
        <v>59</v>
      </c>
      <c r="P701">
        <v>1</v>
      </c>
    </row>
    <row r="702" spans="1:16" customFormat="1" ht="15.75">
      <c r="A702" s="84" t="str">
        <f>LEFT(M702,4)</f>
        <v>6204</v>
      </c>
      <c r="B702" s="84" t="str">
        <f t="shared" si="11"/>
        <v>ПЛАТЬЕ Без товарного знака жен. Артикул 0137841 цвет МОЛОЧНЫЙ р. 46</v>
      </c>
      <c r="C702" s="69" t="s">
        <v>1690</v>
      </c>
      <c r="D702" s="69" t="s">
        <v>55</v>
      </c>
      <c r="E702" s="91" t="s">
        <v>1955</v>
      </c>
      <c r="F702" s="69" t="s">
        <v>1691</v>
      </c>
      <c r="G702" s="86" t="s">
        <v>202</v>
      </c>
      <c r="H702" s="69" t="s">
        <v>1692</v>
      </c>
      <c r="I702" s="69" t="s">
        <v>59</v>
      </c>
      <c r="J702" s="86">
        <v>46</v>
      </c>
      <c r="K702" s="86" t="s">
        <v>1956</v>
      </c>
      <c r="L702" s="86" t="s">
        <v>1956</v>
      </c>
      <c r="M702" s="94">
        <v>6204430000</v>
      </c>
      <c r="N702" s="7"/>
      <c r="O702" s="86" t="s">
        <v>59</v>
      </c>
      <c r="P702">
        <v>1</v>
      </c>
    </row>
    <row r="703" spans="1:16" customFormat="1" ht="15.75">
      <c r="A703" s="84" t="str">
        <f>LEFT(M703,4)</f>
        <v>6204</v>
      </c>
      <c r="B703" s="84" t="str">
        <f t="shared" si="11"/>
        <v>ПЛАТЬЕ Без товарного знака жен. Артикул 1889 цвет БЕЛЫЙ р. 36</v>
      </c>
      <c r="C703" s="69" t="s">
        <v>1690</v>
      </c>
      <c r="D703" s="69" t="s">
        <v>55</v>
      </c>
      <c r="E703" s="91" t="s">
        <v>1957</v>
      </c>
      <c r="F703" s="69" t="s">
        <v>1691</v>
      </c>
      <c r="G703" s="86" t="s">
        <v>98</v>
      </c>
      <c r="H703" s="69" t="s">
        <v>1692</v>
      </c>
      <c r="I703" s="69" t="s">
        <v>59</v>
      </c>
      <c r="J703" s="86">
        <v>36</v>
      </c>
      <c r="K703" s="86" t="s">
        <v>1693</v>
      </c>
      <c r="L703" s="86" t="s">
        <v>1693</v>
      </c>
      <c r="M703" s="94">
        <v>6204430000</v>
      </c>
      <c r="N703" s="7"/>
      <c r="O703" s="86" t="s">
        <v>94</v>
      </c>
      <c r="P703">
        <v>1</v>
      </c>
    </row>
    <row r="704" spans="1:16" customFormat="1" ht="15.75">
      <c r="A704" s="84" t="str">
        <f>LEFT(M704,4)</f>
        <v>6204</v>
      </c>
      <c r="B704" s="84" t="str">
        <f t="shared" si="11"/>
        <v>ПЛАТЬЕ Без товарного знака жен. Артикул 692 цвет БЕЛЫЙ р. 44</v>
      </c>
      <c r="C704" s="69" t="s">
        <v>1690</v>
      </c>
      <c r="D704" s="69" t="s">
        <v>55</v>
      </c>
      <c r="E704" s="91" t="s">
        <v>1958</v>
      </c>
      <c r="F704" s="69" t="s">
        <v>1691</v>
      </c>
      <c r="G704" s="86" t="s">
        <v>98</v>
      </c>
      <c r="H704" s="69" t="s">
        <v>1692</v>
      </c>
      <c r="I704" s="69" t="s">
        <v>59</v>
      </c>
      <c r="J704" s="86">
        <v>44</v>
      </c>
      <c r="K704" s="86" t="s">
        <v>1693</v>
      </c>
      <c r="L704" s="86" t="s">
        <v>1693</v>
      </c>
      <c r="M704" s="94">
        <v>6204430000</v>
      </c>
      <c r="N704" s="7"/>
      <c r="O704" s="86" t="s">
        <v>94</v>
      </c>
      <c r="P704">
        <v>1</v>
      </c>
    </row>
    <row r="705" spans="1:42" customFormat="1" ht="15.75">
      <c r="A705" s="84" t="str">
        <f>LEFT(M705,4)</f>
        <v>6204</v>
      </c>
      <c r="B705" s="84" t="str">
        <f t="shared" si="11"/>
        <v>ПЛАТЬЕ Без товарного знака жен. Артикул 692 цвет БЕЛЫЙ р. 46</v>
      </c>
      <c r="C705" s="69" t="s">
        <v>1690</v>
      </c>
      <c r="D705" s="69" t="s">
        <v>55</v>
      </c>
      <c r="E705" s="91" t="s">
        <v>1958</v>
      </c>
      <c r="F705" s="69" t="s">
        <v>1691</v>
      </c>
      <c r="G705" s="86" t="s">
        <v>98</v>
      </c>
      <c r="H705" s="69" t="s">
        <v>1692</v>
      </c>
      <c r="I705" s="69" t="s">
        <v>59</v>
      </c>
      <c r="J705" s="86">
        <v>46</v>
      </c>
      <c r="K705" s="86" t="s">
        <v>1693</v>
      </c>
      <c r="L705" s="86" t="s">
        <v>1693</v>
      </c>
      <c r="M705" s="94">
        <v>6204430000</v>
      </c>
      <c r="N705" s="7"/>
      <c r="O705" s="86" t="s">
        <v>94</v>
      </c>
      <c r="P705">
        <v>1</v>
      </c>
    </row>
    <row r="706" spans="1:42" customFormat="1" ht="15.75">
      <c r="A706" s="84" t="str">
        <f>LEFT(M706,4)</f>
        <v>6204</v>
      </c>
      <c r="B706" s="84" t="str">
        <f t="shared" si="11"/>
        <v>ПЛАТЬЕ Без товарного знака жен. Артикул 692 цвет БЕЛЫЙ р. 48</v>
      </c>
      <c r="C706" s="69" t="s">
        <v>1690</v>
      </c>
      <c r="D706" s="69" t="s">
        <v>55</v>
      </c>
      <c r="E706" s="91" t="s">
        <v>1958</v>
      </c>
      <c r="F706" s="69" t="s">
        <v>1691</v>
      </c>
      <c r="G706" s="86" t="s">
        <v>98</v>
      </c>
      <c r="H706" s="69" t="s">
        <v>1692</v>
      </c>
      <c r="I706" s="69" t="s">
        <v>59</v>
      </c>
      <c r="J706" s="86">
        <v>48</v>
      </c>
      <c r="K706" s="86" t="s">
        <v>1693</v>
      </c>
      <c r="L706" s="86" t="s">
        <v>1693</v>
      </c>
      <c r="M706" s="94">
        <v>6204430000</v>
      </c>
      <c r="N706" s="7"/>
      <c r="O706" s="86" t="s">
        <v>94</v>
      </c>
      <c r="P706">
        <v>1</v>
      </c>
    </row>
    <row r="707" spans="1:42" customFormat="1" ht="15.75">
      <c r="A707" s="84" t="str">
        <f>LEFT(M707,4)</f>
        <v>6204</v>
      </c>
      <c r="B707" s="84" t="str">
        <f t="shared" si="11"/>
        <v>ПЛАТЬЕ Без товарного знака жен. Артикул 977 цвет БЕЛЫЙ р. 54</v>
      </c>
      <c r="C707" s="69" t="s">
        <v>1690</v>
      </c>
      <c r="D707" s="69" t="s">
        <v>55</v>
      </c>
      <c r="E707" s="91" t="s">
        <v>1959</v>
      </c>
      <c r="F707" s="69" t="s">
        <v>1691</v>
      </c>
      <c r="G707" s="86" t="s">
        <v>98</v>
      </c>
      <c r="H707" s="69" t="s">
        <v>1692</v>
      </c>
      <c r="I707" s="69" t="s">
        <v>59</v>
      </c>
      <c r="J707" s="86">
        <v>54</v>
      </c>
      <c r="K707" s="86" t="s">
        <v>1693</v>
      </c>
      <c r="L707" s="86" t="s">
        <v>1693</v>
      </c>
      <c r="M707" s="94">
        <v>6204430000</v>
      </c>
      <c r="N707" s="7"/>
      <c r="O707" s="86" t="s">
        <v>94</v>
      </c>
      <c r="P707">
        <v>1</v>
      </c>
    </row>
    <row r="708" spans="1:42" customFormat="1" ht="15.75">
      <c r="A708" s="84" t="str">
        <f>LEFT(M708,4)</f>
        <v>6204</v>
      </c>
      <c r="B708" s="84" t="str">
        <f t="shared" si="11"/>
        <v>ПЛАТЬЕ Без товарного знака жен. Артикул 3256 цвет МОЛОЧНЫЙ р. 44</v>
      </c>
      <c r="C708" s="69" t="s">
        <v>1690</v>
      </c>
      <c r="D708" s="69" t="s">
        <v>55</v>
      </c>
      <c r="E708" s="91" t="s">
        <v>1960</v>
      </c>
      <c r="F708" s="69" t="s">
        <v>1691</v>
      </c>
      <c r="G708" s="86" t="s">
        <v>202</v>
      </c>
      <c r="H708" s="69" t="s">
        <v>1692</v>
      </c>
      <c r="I708" s="69" t="s">
        <v>59</v>
      </c>
      <c r="J708" s="86">
        <v>44</v>
      </c>
      <c r="K708" s="86" t="s">
        <v>1693</v>
      </c>
      <c r="L708" s="86" t="s">
        <v>1693</v>
      </c>
      <c r="M708" s="94">
        <v>6204430000</v>
      </c>
      <c r="N708" s="7"/>
      <c r="O708" s="86" t="s">
        <v>94</v>
      </c>
      <c r="P708">
        <v>1</v>
      </c>
    </row>
    <row r="709" spans="1:42" customFormat="1" ht="15.75">
      <c r="A709" s="84" t="str">
        <f>LEFT(M709,4)</f>
        <v>6204</v>
      </c>
      <c r="B709" s="84" t="str">
        <f t="shared" si="11"/>
        <v>ПЛАТЬЕ Без товарного знака жен. Артикул 2777 цвет БЕЛЫЙ р. 46</v>
      </c>
      <c r="C709" s="69" t="s">
        <v>1690</v>
      </c>
      <c r="D709" s="69" t="s">
        <v>55</v>
      </c>
      <c r="E709" s="91" t="s">
        <v>1961</v>
      </c>
      <c r="F709" s="69" t="s">
        <v>1691</v>
      </c>
      <c r="G709" s="86" t="s">
        <v>98</v>
      </c>
      <c r="H709" s="69" t="s">
        <v>1692</v>
      </c>
      <c r="I709" s="69" t="s">
        <v>59</v>
      </c>
      <c r="J709" s="86">
        <v>46</v>
      </c>
      <c r="K709" s="86" t="s">
        <v>1693</v>
      </c>
      <c r="L709" s="86" t="s">
        <v>1693</v>
      </c>
      <c r="M709" s="94">
        <v>6204430000</v>
      </c>
      <c r="N709" s="7"/>
      <c r="O709" s="86" t="s">
        <v>94</v>
      </c>
      <c r="P709">
        <v>1</v>
      </c>
    </row>
    <row r="710" spans="1:42" customFormat="1" ht="15.75">
      <c r="A710" s="84" t="str">
        <f>LEFT(M710,4)</f>
        <v>6204</v>
      </c>
      <c r="B710" s="84" t="str">
        <f t="shared" si="11"/>
        <v>ПЛАТЬЕ Без товарного знака жен. Артикул 3152 цвет БЕЖЕВЫЙ р. 46</v>
      </c>
      <c r="C710" s="69" t="s">
        <v>1690</v>
      </c>
      <c r="D710" s="69" t="s">
        <v>55</v>
      </c>
      <c r="E710" s="91" t="s">
        <v>1962</v>
      </c>
      <c r="F710" s="69" t="s">
        <v>1691</v>
      </c>
      <c r="G710" s="86" t="s">
        <v>57</v>
      </c>
      <c r="H710" s="69" t="s">
        <v>1692</v>
      </c>
      <c r="I710" s="69" t="s">
        <v>59</v>
      </c>
      <c r="J710" s="86">
        <v>46</v>
      </c>
      <c r="K710" s="86" t="s">
        <v>1693</v>
      </c>
      <c r="L710" s="86" t="s">
        <v>1693</v>
      </c>
      <c r="M710" s="94">
        <v>6204430000</v>
      </c>
      <c r="N710" s="7"/>
      <c r="O710" s="86" t="s">
        <v>94</v>
      </c>
      <c r="P710">
        <v>1</v>
      </c>
    </row>
    <row r="711" spans="1:42" customFormat="1" ht="15.75">
      <c r="A711" s="84" t="str">
        <f>LEFT(M711,4)</f>
        <v>6204</v>
      </c>
      <c r="B711" s="84" t="str">
        <f t="shared" si="11"/>
        <v>ПЛАТЬЕ Без товарного знака жен. Артикул 2629 цвет БЕЖЕВЫЙ р. 42</v>
      </c>
      <c r="C711" s="69" t="s">
        <v>1690</v>
      </c>
      <c r="D711" s="69" t="s">
        <v>55</v>
      </c>
      <c r="E711" s="91" t="s">
        <v>1963</v>
      </c>
      <c r="F711" s="69" t="s">
        <v>1691</v>
      </c>
      <c r="G711" s="86" t="s">
        <v>57</v>
      </c>
      <c r="H711" s="69" t="s">
        <v>1692</v>
      </c>
      <c r="I711" s="69" t="s">
        <v>59</v>
      </c>
      <c r="J711" s="86">
        <v>42</v>
      </c>
      <c r="K711" s="86" t="s">
        <v>1693</v>
      </c>
      <c r="L711" s="86" t="s">
        <v>1693</v>
      </c>
      <c r="M711" s="94">
        <v>6204430000</v>
      </c>
      <c r="N711" s="7"/>
      <c r="O711" s="86" t="s">
        <v>94</v>
      </c>
      <c r="P711">
        <v>1</v>
      </c>
    </row>
    <row r="712" spans="1:42" customFormat="1" ht="15.75">
      <c r="A712" s="84" t="str">
        <f>LEFT(M712,4)</f>
        <v>6204</v>
      </c>
      <c r="B712" s="84" t="str">
        <f t="shared" si="11"/>
        <v>ПЛАТЬЕ Без товарного знака жен. Артикул 2629 цвет БЕЖЕВЫЙ р. 44</v>
      </c>
      <c r="C712" s="69" t="s">
        <v>1690</v>
      </c>
      <c r="D712" s="69" t="s">
        <v>55</v>
      </c>
      <c r="E712" s="91" t="s">
        <v>1963</v>
      </c>
      <c r="F712" s="69" t="s">
        <v>1691</v>
      </c>
      <c r="G712" s="86" t="s">
        <v>57</v>
      </c>
      <c r="H712" s="69" t="s">
        <v>1692</v>
      </c>
      <c r="I712" s="69" t="s">
        <v>59</v>
      </c>
      <c r="J712" s="86">
        <v>44</v>
      </c>
      <c r="K712" s="86" t="s">
        <v>1693</v>
      </c>
      <c r="L712" s="86" t="s">
        <v>1693</v>
      </c>
      <c r="M712" s="94">
        <v>6204430000</v>
      </c>
      <c r="N712" s="7"/>
      <c r="O712" s="86" t="s">
        <v>94</v>
      </c>
      <c r="P712">
        <v>1</v>
      </c>
    </row>
    <row r="713" spans="1:42" customFormat="1" ht="15.75">
      <c r="A713" s="95" t="str">
        <f>LEFT(M713,4)</f>
        <v>6204</v>
      </c>
      <c r="B713" s="95" t="str">
        <f t="shared" si="11"/>
        <v>ПЛАТЬЕ Без товарного знака жен. Артикул 2629 цвет БЕЖЕВЫЙ р. 42</v>
      </c>
      <c r="C713" s="96" t="s">
        <v>1690</v>
      </c>
      <c r="D713" s="96" t="s">
        <v>55</v>
      </c>
      <c r="E713" s="97" t="s">
        <v>1963</v>
      </c>
      <c r="F713" s="96" t="s">
        <v>1691</v>
      </c>
      <c r="G713" s="98" t="s">
        <v>57</v>
      </c>
      <c r="H713" s="96" t="s">
        <v>1692</v>
      </c>
      <c r="I713" s="96" t="s">
        <v>59</v>
      </c>
      <c r="J713" s="98">
        <v>42</v>
      </c>
      <c r="K713" s="98" t="s">
        <v>1693</v>
      </c>
      <c r="L713" s="98" t="s">
        <v>1693</v>
      </c>
      <c r="M713" s="99">
        <v>6204430000</v>
      </c>
      <c r="N713" s="7"/>
      <c r="O713" s="98" t="s">
        <v>94</v>
      </c>
      <c r="P713">
        <v>1</v>
      </c>
    </row>
    <row r="714" spans="1:42" s="93" customFormat="1" ht="12.75" customHeight="1">
      <c r="A714" s="68" t="str">
        <f>LEFT(M714,4)</f>
        <v>6204</v>
      </c>
      <c r="B714" s="68" t="str">
        <f t="shared" ref="B714:B716" si="12">CONCATENATE(F714," ",C714," ",H714," ",D714,"  ",E714," цвет ",G714," р. ",J714)</f>
        <v>ПЛАТЬЕ Без товарного знака жен. Артикул  1788 цвет БЕЖЕВЫЙ р. 44</v>
      </c>
      <c r="C714" s="96" t="s">
        <v>1690</v>
      </c>
      <c r="D714" s="70" t="s">
        <v>55</v>
      </c>
      <c r="E714" s="71">
        <v>1788</v>
      </c>
      <c r="F714" s="70" t="s">
        <v>1691</v>
      </c>
      <c r="G714" s="70" t="s">
        <v>57</v>
      </c>
      <c r="H714" s="70" t="s">
        <v>1692</v>
      </c>
      <c r="I714" s="96" t="s">
        <v>59</v>
      </c>
      <c r="J714" s="100">
        <v>44</v>
      </c>
      <c r="K714" s="71" t="s">
        <v>1693</v>
      </c>
      <c r="L714" s="71" t="s">
        <v>1693</v>
      </c>
      <c r="M714" s="71">
        <v>6204430000</v>
      </c>
      <c r="O714" s="74" t="s">
        <v>94</v>
      </c>
      <c r="P714">
        <v>1</v>
      </c>
      <c r="Q714" s="101"/>
      <c r="R714" s="101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</row>
    <row r="715" spans="1:42" s="93" customFormat="1" ht="12.75" customHeight="1">
      <c r="A715" s="68" t="str">
        <f>LEFT(M715,4)</f>
        <v>6204</v>
      </c>
      <c r="B715" s="68" t="str">
        <f t="shared" si="12"/>
        <v>ПЛАТЬЕ Без товарного знака жен. Артикул  1788 цвет БЕЖЕВЫЙ р. 46</v>
      </c>
      <c r="C715" s="96" t="s">
        <v>1690</v>
      </c>
      <c r="D715" s="70" t="s">
        <v>55</v>
      </c>
      <c r="E715" s="71">
        <v>1788</v>
      </c>
      <c r="F715" s="70" t="s">
        <v>1691</v>
      </c>
      <c r="G715" s="70" t="s">
        <v>57</v>
      </c>
      <c r="H715" s="70" t="s">
        <v>1692</v>
      </c>
      <c r="I715" s="96" t="s">
        <v>59</v>
      </c>
      <c r="J715" s="100">
        <v>46</v>
      </c>
      <c r="K715" s="71" t="s">
        <v>1693</v>
      </c>
      <c r="L715" s="71" t="s">
        <v>1693</v>
      </c>
      <c r="M715" s="71">
        <v>6204430000</v>
      </c>
      <c r="O715" s="74" t="s">
        <v>94</v>
      </c>
      <c r="P715">
        <v>1</v>
      </c>
      <c r="Q715" s="101"/>
      <c r="R715" s="101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</row>
    <row r="716" spans="1:42" s="108" customFormat="1" ht="12.75" customHeight="1">
      <c r="A716" s="102" t="str">
        <f>LEFT(M716,4)</f>
        <v>6204</v>
      </c>
      <c r="B716" s="102" t="str">
        <f t="shared" si="12"/>
        <v>ПЛАТЬЕ Без товарного знака жен. Артикул  1788 цвет БЕЖЕВЫЙ р. 48</v>
      </c>
      <c r="C716" s="96" t="s">
        <v>1690</v>
      </c>
      <c r="D716" s="103" t="s">
        <v>55</v>
      </c>
      <c r="E716" s="104">
        <v>1788</v>
      </c>
      <c r="F716" s="103" t="s">
        <v>1691</v>
      </c>
      <c r="G716" s="103" t="s">
        <v>57</v>
      </c>
      <c r="H716" s="103" t="s">
        <v>1692</v>
      </c>
      <c r="I716" s="96" t="s">
        <v>59</v>
      </c>
      <c r="J716" s="105">
        <v>48</v>
      </c>
      <c r="K716" s="104" t="s">
        <v>1693</v>
      </c>
      <c r="L716" s="104" t="s">
        <v>1693</v>
      </c>
      <c r="M716" s="104">
        <v>6204430000</v>
      </c>
      <c r="O716" s="106" t="s">
        <v>94</v>
      </c>
      <c r="P716">
        <v>1</v>
      </c>
      <c r="Q716" s="107"/>
      <c r="R716" s="107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</row>
    <row r="717" spans="1:42" s="93" customFormat="1" ht="12.75" customHeight="1">
      <c r="A717" s="68" t="str">
        <f>LEFT(M717,4)</f>
        <v>6204</v>
      </c>
      <c r="B717" s="68" t="str">
        <f t="shared" ref="B717:B780" si="13">CONCATENATE(F717," ", C717," ",H717," ",D717," ", E717, " цвет ", G717, " р. ", J717)</f>
        <v>ПЛАТЬЕ Без товарного знака жен. Артикул 97495 цвет ГОЛУБОЙ р. 46</v>
      </c>
      <c r="C717" s="96" t="s">
        <v>1690</v>
      </c>
      <c r="D717" s="70" t="s">
        <v>55</v>
      </c>
      <c r="E717" s="71">
        <v>97495</v>
      </c>
      <c r="F717" s="70" t="s">
        <v>1691</v>
      </c>
      <c r="G717" s="70" t="s">
        <v>141</v>
      </c>
      <c r="H717" s="70" t="s">
        <v>1692</v>
      </c>
      <c r="I717" s="96" t="s">
        <v>59</v>
      </c>
      <c r="J717" s="109">
        <v>46</v>
      </c>
      <c r="K717" s="71" t="s">
        <v>1693</v>
      </c>
      <c r="L717" s="71" t="s">
        <v>1693</v>
      </c>
      <c r="M717" s="71">
        <v>6204430000</v>
      </c>
      <c r="O717" s="74" t="s">
        <v>94</v>
      </c>
      <c r="P717">
        <v>1</v>
      </c>
      <c r="Q717" s="101"/>
      <c r="R717" s="101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</row>
    <row r="718" spans="1:42" s="93" customFormat="1" ht="12.75" customHeight="1">
      <c r="A718" s="68" t="str">
        <f>LEFT(M718,4)</f>
        <v>6204</v>
      </c>
      <c r="B718" s="68" t="str">
        <f t="shared" si="13"/>
        <v>ПЛАТЬЕ Без товарного знака жен. Артикул 97495 цвет ГОЛУБОЙ р. 48</v>
      </c>
      <c r="C718" s="96" t="s">
        <v>1690</v>
      </c>
      <c r="D718" s="70" t="s">
        <v>55</v>
      </c>
      <c r="E718" s="71">
        <v>97495</v>
      </c>
      <c r="F718" s="70" t="s">
        <v>1691</v>
      </c>
      <c r="G718" s="70" t="s">
        <v>141</v>
      </c>
      <c r="H718" s="70" t="s">
        <v>1692</v>
      </c>
      <c r="I718" s="96" t="s">
        <v>59</v>
      </c>
      <c r="J718" s="109">
        <v>48</v>
      </c>
      <c r="K718" s="71" t="s">
        <v>1693</v>
      </c>
      <c r="L718" s="71" t="s">
        <v>1693</v>
      </c>
      <c r="M718" s="71">
        <v>6204430000</v>
      </c>
      <c r="O718" s="74" t="s">
        <v>94</v>
      </c>
      <c r="P718">
        <v>1</v>
      </c>
      <c r="Q718" s="101"/>
      <c r="R718" s="101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</row>
    <row r="719" spans="1:42" customFormat="1" ht="15">
      <c r="A719" s="68" t="str">
        <f>LEFT(M719,4)</f>
        <v>6204</v>
      </c>
      <c r="B719" s="68" t="str">
        <f t="shared" si="13"/>
        <v>ПЛАТЬЕ Без товарного знака жен. Артикул 862 цвет ЖЕЛТЫЙ р. 46</v>
      </c>
      <c r="C719" s="69" t="s">
        <v>1690</v>
      </c>
      <c r="D719" s="70" t="s">
        <v>55</v>
      </c>
      <c r="E719" s="71">
        <v>862</v>
      </c>
      <c r="F719" s="70" t="s">
        <v>1691</v>
      </c>
      <c r="G719" s="70" t="s">
        <v>348</v>
      </c>
      <c r="H719" s="70" t="s">
        <v>1692</v>
      </c>
      <c r="I719" s="69" t="s">
        <v>59</v>
      </c>
      <c r="J719" s="100">
        <v>46</v>
      </c>
      <c r="K719" s="71" t="s">
        <v>1693</v>
      </c>
      <c r="L719" s="71" t="s">
        <v>1693</v>
      </c>
      <c r="M719" s="71">
        <v>6204430000</v>
      </c>
      <c r="N719" s="7"/>
      <c r="O719" s="74" t="s">
        <v>94</v>
      </c>
      <c r="P719">
        <v>1</v>
      </c>
    </row>
    <row r="720" spans="1:42" customFormat="1" ht="15.75">
      <c r="A720" s="68" t="str">
        <f>LEFT(M720,4)</f>
        <v>6204</v>
      </c>
      <c r="B720" s="68" t="str">
        <f t="shared" si="13"/>
        <v>ПЛАТЬЕ Без товарного знака жен. Артикул 0052 цвет фуксия р. 46</v>
      </c>
      <c r="C720" s="69" t="s">
        <v>1690</v>
      </c>
      <c r="D720" s="70" t="s">
        <v>55</v>
      </c>
      <c r="E720" s="77" t="s">
        <v>1964</v>
      </c>
      <c r="F720" s="70" t="s">
        <v>1691</v>
      </c>
      <c r="G720" s="71" t="s">
        <v>1965</v>
      </c>
      <c r="H720" s="70" t="s">
        <v>1692</v>
      </c>
      <c r="I720" s="69" t="s">
        <v>59</v>
      </c>
      <c r="J720" s="100">
        <v>46</v>
      </c>
      <c r="K720" s="71" t="s">
        <v>1693</v>
      </c>
      <c r="L720" s="71" t="s">
        <v>1693</v>
      </c>
      <c r="M720" s="71">
        <v>6204430000</v>
      </c>
      <c r="N720" s="7"/>
      <c r="O720" s="74" t="s">
        <v>94</v>
      </c>
      <c r="P720">
        <v>1</v>
      </c>
    </row>
    <row r="721" spans="1:16" customFormat="1" ht="15.75">
      <c r="A721" s="68" t="str">
        <f>LEFT(M721,4)</f>
        <v>6204</v>
      </c>
      <c r="B721" s="68" t="str">
        <f t="shared" si="13"/>
        <v>ПЛАТЬЕ Без товарного знака жен. Артикул 0052 цвет бледно-сиренев. р. 46</v>
      </c>
      <c r="C721" s="69" t="s">
        <v>1690</v>
      </c>
      <c r="D721" s="70" t="s">
        <v>55</v>
      </c>
      <c r="E721" s="77" t="s">
        <v>1964</v>
      </c>
      <c r="F721" s="70" t="s">
        <v>1691</v>
      </c>
      <c r="G721" s="71" t="s">
        <v>1966</v>
      </c>
      <c r="H721" s="70" t="s">
        <v>1692</v>
      </c>
      <c r="I721" s="69" t="s">
        <v>59</v>
      </c>
      <c r="J721" s="100">
        <v>46</v>
      </c>
      <c r="K721" s="71" t="s">
        <v>1693</v>
      </c>
      <c r="L721" s="71" t="s">
        <v>1693</v>
      </c>
      <c r="M721" s="71">
        <v>6204430000</v>
      </c>
      <c r="N721" s="7"/>
      <c r="O721" s="74" t="s">
        <v>94</v>
      </c>
      <c r="P721">
        <v>1</v>
      </c>
    </row>
    <row r="722" spans="1:16" customFormat="1" ht="15.75">
      <c r="A722" s="68" t="str">
        <f>LEFT(M722,4)</f>
        <v>6204</v>
      </c>
      <c r="B722" s="68" t="str">
        <f t="shared" si="13"/>
        <v>ПЛАТЬЕ Без товарного знака жен. Артикул 0059 цвет розовый р. 46</v>
      </c>
      <c r="C722" s="69" t="s">
        <v>1690</v>
      </c>
      <c r="D722" s="70" t="s">
        <v>55</v>
      </c>
      <c r="E722" s="77" t="s">
        <v>1967</v>
      </c>
      <c r="F722" s="70" t="s">
        <v>1691</v>
      </c>
      <c r="G722" s="71" t="s">
        <v>1968</v>
      </c>
      <c r="H722" s="70" t="s">
        <v>1692</v>
      </c>
      <c r="I722" s="69" t="s">
        <v>59</v>
      </c>
      <c r="J722" s="100">
        <v>46</v>
      </c>
      <c r="K722" s="71" t="s">
        <v>1693</v>
      </c>
      <c r="L722" s="71" t="s">
        <v>1693</v>
      </c>
      <c r="M722" s="71">
        <v>6204430000</v>
      </c>
      <c r="N722" s="7"/>
      <c r="O722" s="74" t="s">
        <v>94</v>
      </c>
      <c r="P722">
        <v>1</v>
      </c>
    </row>
    <row r="723" spans="1:16" customFormat="1" ht="15.75">
      <c r="A723" s="68" t="str">
        <f>LEFT(M723,4)</f>
        <v>6204</v>
      </c>
      <c r="B723" s="68" t="str">
        <f t="shared" si="13"/>
        <v>ПЛАТЬЕ Без товарного знака жен. Артикул 0059 цвет фуксия р. 48</v>
      </c>
      <c r="C723" s="69" t="s">
        <v>1690</v>
      </c>
      <c r="D723" s="70" t="s">
        <v>55</v>
      </c>
      <c r="E723" s="77" t="s">
        <v>1967</v>
      </c>
      <c r="F723" s="70" t="s">
        <v>1691</v>
      </c>
      <c r="G723" s="71" t="s">
        <v>1965</v>
      </c>
      <c r="H723" s="70" t="s">
        <v>1692</v>
      </c>
      <c r="I723" s="69" t="s">
        <v>59</v>
      </c>
      <c r="J723" s="100">
        <v>48</v>
      </c>
      <c r="K723" s="71" t="s">
        <v>1693</v>
      </c>
      <c r="L723" s="71" t="s">
        <v>1693</v>
      </c>
      <c r="M723" s="71">
        <v>6204430000</v>
      </c>
      <c r="N723" s="7"/>
      <c r="O723" s="74" t="s">
        <v>94</v>
      </c>
      <c r="P723">
        <v>1</v>
      </c>
    </row>
    <row r="724" spans="1:16" customFormat="1" ht="15.75">
      <c r="A724" s="68" t="str">
        <f>LEFT(M724,4)</f>
        <v>6204</v>
      </c>
      <c r="B724" s="68" t="str">
        <f t="shared" si="13"/>
        <v>ПЛАТЬЕ Без товарного знака жен. Артикул 1161 цвет красный,черный р. 46</v>
      </c>
      <c r="C724" s="69" t="s">
        <v>1690</v>
      </c>
      <c r="D724" s="70" t="s">
        <v>55</v>
      </c>
      <c r="E724" s="71">
        <v>1161</v>
      </c>
      <c r="F724" s="70" t="s">
        <v>1691</v>
      </c>
      <c r="G724" s="71" t="s">
        <v>1969</v>
      </c>
      <c r="H724" s="70" t="s">
        <v>1692</v>
      </c>
      <c r="I724" s="69" t="s">
        <v>59</v>
      </c>
      <c r="J724" s="100">
        <v>46</v>
      </c>
      <c r="K724" s="71" t="s">
        <v>1693</v>
      </c>
      <c r="L724" s="71" t="s">
        <v>1693</v>
      </c>
      <c r="M724" s="71">
        <v>6204430000</v>
      </c>
      <c r="N724" s="7"/>
      <c r="O724" s="74" t="s">
        <v>94</v>
      </c>
      <c r="P724">
        <v>1</v>
      </c>
    </row>
    <row r="725" spans="1:16" customFormat="1" ht="15.75">
      <c r="A725" s="68" t="str">
        <f>LEFT(M725,4)</f>
        <v>6204</v>
      </c>
      <c r="B725" s="68" t="str">
        <f t="shared" si="13"/>
        <v>ПЛАТЬЕ Без товарного знака жен. Артикул 7122 цвет пудра р. 50</v>
      </c>
      <c r="C725" s="69" t="s">
        <v>1690</v>
      </c>
      <c r="D725" s="70" t="s">
        <v>55</v>
      </c>
      <c r="E725" s="71">
        <v>7122</v>
      </c>
      <c r="F725" s="70" t="s">
        <v>1691</v>
      </c>
      <c r="G725" s="71" t="s">
        <v>1970</v>
      </c>
      <c r="H725" s="70" t="s">
        <v>1692</v>
      </c>
      <c r="I725" s="69" t="s">
        <v>59</v>
      </c>
      <c r="J725" s="100">
        <v>50</v>
      </c>
      <c r="K725" s="71" t="s">
        <v>1744</v>
      </c>
      <c r="L725" s="71" t="s">
        <v>1744</v>
      </c>
      <c r="M725" s="71">
        <v>6204430000</v>
      </c>
      <c r="N725" s="7"/>
      <c r="O725" s="74" t="s">
        <v>94</v>
      </c>
      <c r="P725">
        <v>1</v>
      </c>
    </row>
    <row r="726" spans="1:16" customFormat="1" ht="15.75">
      <c r="A726" s="68" t="str">
        <f>LEFT(M726,4)</f>
        <v>6204</v>
      </c>
      <c r="B726" s="68" t="str">
        <f t="shared" si="13"/>
        <v>ПЛАТЬЕ Без товарного знака жен. Артикул 7122 цвет фуксия р. 50</v>
      </c>
      <c r="C726" s="69" t="s">
        <v>1690</v>
      </c>
      <c r="D726" s="70" t="s">
        <v>55</v>
      </c>
      <c r="E726" s="71">
        <v>7122</v>
      </c>
      <c r="F726" s="70" t="s">
        <v>1691</v>
      </c>
      <c r="G726" s="71" t="s">
        <v>1965</v>
      </c>
      <c r="H726" s="70" t="s">
        <v>1692</v>
      </c>
      <c r="I726" s="69" t="s">
        <v>59</v>
      </c>
      <c r="J726" s="100">
        <v>50</v>
      </c>
      <c r="K726" s="71" t="s">
        <v>1744</v>
      </c>
      <c r="L726" s="71" t="s">
        <v>1744</v>
      </c>
      <c r="M726" s="71">
        <v>6204430000</v>
      </c>
      <c r="N726" s="7"/>
      <c r="O726" s="74" t="s">
        <v>94</v>
      </c>
      <c r="P726">
        <v>1</v>
      </c>
    </row>
    <row r="727" spans="1:16" customFormat="1" ht="15.75">
      <c r="A727" s="68" t="str">
        <f>LEFT(M727,4)</f>
        <v>6204</v>
      </c>
      <c r="B727" s="68" t="str">
        <f t="shared" si="13"/>
        <v>ПЛАТЬЕ Без товарного знака жен. Артикул 7122 цвет голубой р. 48</v>
      </c>
      <c r="C727" s="69" t="s">
        <v>1690</v>
      </c>
      <c r="D727" s="70" t="s">
        <v>55</v>
      </c>
      <c r="E727" s="71">
        <v>7122</v>
      </c>
      <c r="F727" s="70" t="s">
        <v>1691</v>
      </c>
      <c r="G727" s="71" t="s">
        <v>1971</v>
      </c>
      <c r="H727" s="70" t="s">
        <v>1692</v>
      </c>
      <c r="I727" s="69" t="s">
        <v>59</v>
      </c>
      <c r="J727" s="100">
        <v>48</v>
      </c>
      <c r="K727" s="71" t="s">
        <v>1744</v>
      </c>
      <c r="L727" s="71" t="s">
        <v>1744</v>
      </c>
      <c r="M727" s="71">
        <v>6204430000</v>
      </c>
      <c r="N727" s="7"/>
      <c r="O727" s="74" t="s">
        <v>94</v>
      </c>
      <c r="P727">
        <v>1</v>
      </c>
    </row>
    <row r="728" spans="1:16" customFormat="1" ht="15.75">
      <c r="A728" s="68" t="str">
        <f>LEFT(M728,4)</f>
        <v>6204</v>
      </c>
      <c r="B728" s="68" t="str">
        <f t="shared" si="13"/>
        <v>ПЛАТЬЕ Без товарного знака жен. Артикул 7122 цвет электрик р. 48</v>
      </c>
      <c r="C728" s="69" t="s">
        <v>1690</v>
      </c>
      <c r="D728" s="70" t="s">
        <v>55</v>
      </c>
      <c r="E728" s="71">
        <v>7122</v>
      </c>
      <c r="F728" s="70" t="s">
        <v>1691</v>
      </c>
      <c r="G728" s="71" t="s">
        <v>1972</v>
      </c>
      <c r="H728" s="70" t="s">
        <v>1692</v>
      </c>
      <c r="I728" s="69" t="s">
        <v>59</v>
      </c>
      <c r="J728" s="100">
        <v>48</v>
      </c>
      <c r="K728" s="71" t="s">
        <v>1744</v>
      </c>
      <c r="L728" s="71" t="s">
        <v>1744</v>
      </c>
      <c r="M728" s="71">
        <v>6204430000</v>
      </c>
      <c r="N728" s="7"/>
      <c r="O728" s="74" t="s">
        <v>94</v>
      </c>
      <c r="P728">
        <v>1</v>
      </c>
    </row>
    <row r="729" spans="1:16" customFormat="1" ht="15.75">
      <c r="A729" s="68" t="str">
        <f>LEFT(M729,4)</f>
        <v>6204</v>
      </c>
      <c r="B729" s="68" t="str">
        <f t="shared" si="13"/>
        <v>ПЛАТЬЕ Без товарного знака жен. Артикул 7122 цвет зеленый р. 48</v>
      </c>
      <c r="C729" s="69" t="s">
        <v>1690</v>
      </c>
      <c r="D729" s="70" t="s">
        <v>55</v>
      </c>
      <c r="E729" s="71">
        <v>7122</v>
      </c>
      <c r="F729" s="70" t="s">
        <v>1691</v>
      </c>
      <c r="G729" s="110" t="s">
        <v>1735</v>
      </c>
      <c r="H729" s="70" t="s">
        <v>1692</v>
      </c>
      <c r="I729" s="69" t="s">
        <v>59</v>
      </c>
      <c r="J729" s="100">
        <v>48</v>
      </c>
      <c r="K729" s="71" t="s">
        <v>1744</v>
      </c>
      <c r="L729" s="71" t="s">
        <v>1744</v>
      </c>
      <c r="M729" s="71">
        <v>6204430000</v>
      </c>
      <c r="N729" s="7"/>
      <c r="O729" s="74" t="s">
        <v>94</v>
      </c>
      <c r="P729">
        <v>1</v>
      </c>
    </row>
    <row r="730" spans="1:16" customFormat="1" ht="15.75">
      <c r="A730" s="68" t="str">
        <f>LEFT(M730,4)</f>
        <v>6204</v>
      </c>
      <c r="B730" s="68" t="str">
        <f t="shared" si="13"/>
        <v>ПЛАТЬЕ Без товарного знака жен. Артикул 7122 цвет электрик р. 50</v>
      </c>
      <c r="C730" s="69" t="s">
        <v>1690</v>
      </c>
      <c r="D730" s="70" t="s">
        <v>55</v>
      </c>
      <c r="E730" s="71">
        <v>7122</v>
      </c>
      <c r="F730" s="70" t="s">
        <v>1691</v>
      </c>
      <c r="G730" s="71" t="s">
        <v>1972</v>
      </c>
      <c r="H730" s="70" t="s">
        <v>1692</v>
      </c>
      <c r="I730" s="69" t="s">
        <v>59</v>
      </c>
      <c r="J730" s="100">
        <v>50</v>
      </c>
      <c r="K730" s="71" t="s">
        <v>1744</v>
      </c>
      <c r="L730" s="71" t="s">
        <v>1744</v>
      </c>
      <c r="M730" s="71">
        <v>6204430000</v>
      </c>
      <c r="N730" s="7"/>
      <c r="O730" s="74" t="s">
        <v>94</v>
      </c>
      <c r="P730">
        <v>1</v>
      </c>
    </row>
    <row r="731" spans="1:16" customFormat="1" ht="15.75">
      <c r="A731" s="68" t="str">
        <f>LEFT(M731,4)</f>
        <v>6204</v>
      </c>
      <c r="B731" s="68" t="str">
        <f t="shared" si="13"/>
        <v>ПЛАТЬЕ Без товарного знака жен. Артикул 7122 цвет зеленый р. 50</v>
      </c>
      <c r="C731" s="69" t="s">
        <v>1690</v>
      </c>
      <c r="D731" s="70" t="s">
        <v>55</v>
      </c>
      <c r="E731" s="71">
        <v>7122</v>
      </c>
      <c r="F731" s="70" t="s">
        <v>1691</v>
      </c>
      <c r="G731" s="110" t="s">
        <v>1735</v>
      </c>
      <c r="H731" s="70" t="s">
        <v>1692</v>
      </c>
      <c r="I731" s="69" t="s">
        <v>59</v>
      </c>
      <c r="J731" s="100">
        <v>50</v>
      </c>
      <c r="K731" s="71" t="s">
        <v>1744</v>
      </c>
      <c r="L731" s="71" t="s">
        <v>1744</v>
      </c>
      <c r="M731" s="71">
        <v>6204430000</v>
      </c>
      <c r="N731" s="7"/>
      <c r="O731" s="74" t="s">
        <v>94</v>
      </c>
      <c r="P731">
        <v>1</v>
      </c>
    </row>
    <row r="732" spans="1:16" customFormat="1" ht="15.75">
      <c r="A732" s="68" t="str">
        <f>LEFT(M732,4)</f>
        <v>6204</v>
      </c>
      <c r="B732" s="68" t="str">
        <f t="shared" si="13"/>
        <v>ЮБКА Без товарного знака жен. Артикул 0059 цвет черный р. 44</v>
      </c>
      <c r="C732" s="69" t="s">
        <v>1690</v>
      </c>
      <c r="D732" s="70" t="s">
        <v>55</v>
      </c>
      <c r="E732" s="77" t="s">
        <v>1967</v>
      </c>
      <c r="F732" s="70" t="s">
        <v>1745</v>
      </c>
      <c r="G732" s="71" t="s">
        <v>1973</v>
      </c>
      <c r="H732" s="70" t="s">
        <v>1692</v>
      </c>
      <c r="I732" s="69" t="s">
        <v>59</v>
      </c>
      <c r="J732" s="100">
        <v>44</v>
      </c>
      <c r="K732" s="71" t="s">
        <v>1693</v>
      </c>
      <c r="L732" s="71" t="s">
        <v>1693</v>
      </c>
      <c r="M732" s="111">
        <v>6204530000</v>
      </c>
      <c r="N732" s="7"/>
      <c r="O732" s="74" t="s">
        <v>94</v>
      </c>
      <c r="P732">
        <v>1</v>
      </c>
    </row>
    <row r="733" spans="1:16" customFormat="1" ht="15.75">
      <c r="A733" s="68" t="str">
        <f>LEFT(M733,4)</f>
        <v>6204</v>
      </c>
      <c r="B733" s="68" t="str">
        <f t="shared" si="13"/>
        <v>ЮБКА Без товарного знака жен. Артикул 0059 цвет черный р. 46</v>
      </c>
      <c r="C733" s="69" t="s">
        <v>1690</v>
      </c>
      <c r="D733" s="70" t="s">
        <v>55</v>
      </c>
      <c r="E733" s="77" t="s">
        <v>1967</v>
      </c>
      <c r="F733" s="70" t="s">
        <v>1745</v>
      </c>
      <c r="G733" s="71" t="s">
        <v>1973</v>
      </c>
      <c r="H733" s="70" t="s">
        <v>1692</v>
      </c>
      <c r="I733" s="69" t="s">
        <v>59</v>
      </c>
      <c r="J733" s="100">
        <v>46</v>
      </c>
      <c r="K733" s="71" t="s">
        <v>1693</v>
      </c>
      <c r="L733" s="71" t="s">
        <v>1693</v>
      </c>
      <c r="M733" s="111">
        <v>6204530000</v>
      </c>
      <c r="N733" s="7"/>
      <c r="O733" s="74" t="s">
        <v>94</v>
      </c>
      <c r="P733">
        <v>1</v>
      </c>
    </row>
    <row r="734" spans="1:16" customFormat="1" ht="15.75">
      <c r="A734" s="68" t="str">
        <f>LEFT(M734,4)</f>
        <v>6204</v>
      </c>
      <c r="B734" s="68" t="str">
        <f t="shared" si="13"/>
        <v>ЮБКА Без товарного знака жен. Артикул 0059 цвет черный р. 52</v>
      </c>
      <c r="C734" s="69" t="s">
        <v>1690</v>
      </c>
      <c r="D734" s="70" t="s">
        <v>55</v>
      </c>
      <c r="E734" s="77" t="s">
        <v>1967</v>
      </c>
      <c r="F734" s="70" t="s">
        <v>1745</v>
      </c>
      <c r="G734" s="71" t="s">
        <v>1973</v>
      </c>
      <c r="H734" s="70" t="s">
        <v>1692</v>
      </c>
      <c r="I734" s="69" t="s">
        <v>59</v>
      </c>
      <c r="J734" s="100">
        <v>52</v>
      </c>
      <c r="K734" s="71" t="s">
        <v>1693</v>
      </c>
      <c r="L734" s="71" t="s">
        <v>1693</v>
      </c>
      <c r="M734" s="111">
        <v>6204530000</v>
      </c>
      <c r="N734" s="7"/>
      <c r="O734" s="74" t="s">
        <v>94</v>
      </c>
      <c r="P734">
        <v>1</v>
      </c>
    </row>
    <row r="735" spans="1:16" customFormat="1" ht="15">
      <c r="A735" s="68" t="str">
        <f>LEFT(M735,4)</f>
        <v>6204</v>
      </c>
      <c r="B735" s="68" t="str">
        <f t="shared" si="13"/>
        <v>ЮБКА Без товарного знака жен. Артикул 3311 цвет ЧЕРНЫЙ р. 48</v>
      </c>
      <c r="C735" s="69" t="s">
        <v>1690</v>
      </c>
      <c r="D735" s="70" t="s">
        <v>55</v>
      </c>
      <c r="E735" s="71">
        <v>3311</v>
      </c>
      <c r="F735" s="70" t="s">
        <v>1745</v>
      </c>
      <c r="G735" s="70" t="s">
        <v>330</v>
      </c>
      <c r="H735" s="70" t="s">
        <v>1692</v>
      </c>
      <c r="I735" s="69" t="s">
        <v>59</v>
      </c>
      <c r="J735" s="100">
        <v>48</v>
      </c>
      <c r="K735" s="71" t="s">
        <v>1748</v>
      </c>
      <c r="L735" s="71" t="s">
        <v>1748</v>
      </c>
      <c r="M735" s="111">
        <v>6204530000</v>
      </c>
      <c r="N735" s="7"/>
      <c r="O735" s="74" t="s">
        <v>94</v>
      </c>
      <c r="P735">
        <v>1</v>
      </c>
    </row>
    <row r="736" spans="1:16" customFormat="1" ht="15">
      <c r="A736" s="68" t="str">
        <f>LEFT(M736,4)</f>
        <v>6204</v>
      </c>
      <c r="B736" s="68" t="str">
        <f t="shared" si="13"/>
        <v>ЮБКА Без товарного знака жен. Артикул 3311 цвет ЧЕРНЫЙ р. 50</v>
      </c>
      <c r="C736" s="69" t="s">
        <v>1690</v>
      </c>
      <c r="D736" s="70" t="s">
        <v>55</v>
      </c>
      <c r="E736" s="71">
        <v>3311</v>
      </c>
      <c r="F736" s="70" t="s">
        <v>1745</v>
      </c>
      <c r="G736" s="70" t="s">
        <v>330</v>
      </c>
      <c r="H736" s="70" t="s">
        <v>1692</v>
      </c>
      <c r="I736" s="69" t="s">
        <v>59</v>
      </c>
      <c r="J736" s="100">
        <v>50</v>
      </c>
      <c r="K736" s="71" t="s">
        <v>1748</v>
      </c>
      <c r="L736" s="71" t="s">
        <v>1748</v>
      </c>
      <c r="M736" s="111">
        <v>6204530000</v>
      </c>
      <c r="N736" s="7"/>
      <c r="O736" s="74" t="s">
        <v>94</v>
      </c>
      <c r="P736">
        <v>1</v>
      </c>
    </row>
    <row r="737" spans="1:16" customFormat="1" ht="15">
      <c r="A737" s="68" t="str">
        <f>LEFT(M737,4)</f>
        <v>6204</v>
      </c>
      <c r="B737" s="68" t="str">
        <f t="shared" si="13"/>
        <v>ЮБКА Без товарного знака жен. Артикул 3303 цвет ЧЕРНЫЙ р. 46</v>
      </c>
      <c r="C737" s="69" t="s">
        <v>1690</v>
      </c>
      <c r="D737" s="70" t="s">
        <v>55</v>
      </c>
      <c r="E737" s="71">
        <v>3303</v>
      </c>
      <c r="F737" s="70" t="s">
        <v>1745</v>
      </c>
      <c r="G737" s="70" t="s">
        <v>330</v>
      </c>
      <c r="H737" s="70" t="s">
        <v>1692</v>
      </c>
      <c r="I737" s="69" t="s">
        <v>59</v>
      </c>
      <c r="J737" s="100">
        <v>46</v>
      </c>
      <c r="K737" s="71" t="s">
        <v>1748</v>
      </c>
      <c r="L737" s="71" t="s">
        <v>1748</v>
      </c>
      <c r="M737" s="111">
        <v>6204530000</v>
      </c>
      <c r="N737" s="7"/>
      <c r="O737" s="74" t="s">
        <v>94</v>
      </c>
      <c r="P737">
        <v>1</v>
      </c>
    </row>
    <row r="738" spans="1:16" customFormat="1" ht="15">
      <c r="A738" s="68" t="str">
        <f>LEFT(M738,4)</f>
        <v>6204</v>
      </c>
      <c r="B738" s="68" t="str">
        <f t="shared" si="13"/>
        <v>ЮБКА Без товарного знака жен. Артикул 3303 цвет ЧЕРНЫЙ р. 48</v>
      </c>
      <c r="C738" s="69" t="s">
        <v>1690</v>
      </c>
      <c r="D738" s="70" t="s">
        <v>55</v>
      </c>
      <c r="E738" s="71">
        <v>3303</v>
      </c>
      <c r="F738" s="70" t="s">
        <v>1745</v>
      </c>
      <c r="G738" s="70" t="s">
        <v>330</v>
      </c>
      <c r="H738" s="70" t="s">
        <v>1692</v>
      </c>
      <c r="I738" s="69" t="s">
        <v>59</v>
      </c>
      <c r="J738" s="100">
        <v>48</v>
      </c>
      <c r="K738" s="71" t="s">
        <v>1748</v>
      </c>
      <c r="L738" s="71" t="s">
        <v>1748</v>
      </c>
      <c r="M738" s="111">
        <v>6204530000</v>
      </c>
      <c r="N738" s="7"/>
      <c r="O738" s="74" t="s">
        <v>94</v>
      </c>
      <c r="P738">
        <v>1</v>
      </c>
    </row>
    <row r="739" spans="1:16" s="112" customFormat="1" ht="15">
      <c r="A739" s="112" t="str">
        <f>LEFT(M739,4)</f>
        <v>6204</v>
      </c>
      <c r="B739" s="113" t="str">
        <f t="shared" si="13"/>
        <v>ПЛАТЬЕ Без товарного знака жен. Артикул 3811 цвет ИЗУМРУД р. 48</v>
      </c>
      <c r="C739" s="69" t="s">
        <v>1690</v>
      </c>
      <c r="D739" s="114" t="s">
        <v>55</v>
      </c>
      <c r="E739" s="114">
        <v>3811</v>
      </c>
      <c r="F739" s="69" t="s">
        <v>1691</v>
      </c>
      <c r="G739" s="115" t="s">
        <v>1974</v>
      </c>
      <c r="H739" s="69" t="s">
        <v>1692</v>
      </c>
      <c r="I739" s="114" t="s">
        <v>59</v>
      </c>
      <c r="J739" s="114">
        <v>48</v>
      </c>
      <c r="K739" s="116" t="s">
        <v>1744</v>
      </c>
      <c r="L739" s="116" t="s">
        <v>1744</v>
      </c>
      <c r="M739" s="69">
        <v>6204499000</v>
      </c>
      <c r="O739" s="117" t="s">
        <v>94</v>
      </c>
      <c r="P739">
        <v>1</v>
      </c>
    </row>
    <row r="740" spans="1:16" customFormat="1" ht="15">
      <c r="A740" s="118" t="str">
        <f>LEFT(M740,4)</f>
        <v>6204</v>
      </c>
      <c r="B740" s="84" t="str">
        <f t="shared" si="13"/>
        <v>ПЛАТЬЕ Без товарного знака жен. Артикул 40047 цвет РАЗНОЦВЕТНЫЙ р. 56</v>
      </c>
      <c r="C740" s="69" t="s">
        <v>1690</v>
      </c>
      <c r="D740" s="69" t="s">
        <v>55</v>
      </c>
      <c r="E740" s="69">
        <v>40047</v>
      </c>
      <c r="F740" s="69" t="s">
        <v>1691</v>
      </c>
      <c r="G740" s="119" t="s">
        <v>229</v>
      </c>
      <c r="H740" s="69" t="s">
        <v>1692</v>
      </c>
      <c r="I740" s="69" t="s">
        <v>59</v>
      </c>
      <c r="J740" s="69">
        <v>56</v>
      </c>
      <c r="K740" s="120" t="s">
        <v>1765</v>
      </c>
      <c r="L740" s="120" t="s">
        <v>1765</v>
      </c>
      <c r="M740" s="69">
        <v>6204440000</v>
      </c>
      <c r="N740" s="7"/>
      <c r="O740" s="117" t="s">
        <v>94</v>
      </c>
      <c r="P740">
        <v>1</v>
      </c>
    </row>
    <row r="741" spans="1:16" customFormat="1" ht="15">
      <c r="A741" s="118" t="str">
        <f>LEFT(M741,4)</f>
        <v>6204</v>
      </c>
      <c r="B741" s="84" t="str">
        <f t="shared" si="13"/>
        <v>ПЛАТЬЕ Без товарного знака жен. Артикул 40047 цвет РАЗНОЦВЕТНЫЙ р. 58</v>
      </c>
      <c r="C741" s="69" t="s">
        <v>1690</v>
      </c>
      <c r="D741" s="69" t="s">
        <v>55</v>
      </c>
      <c r="E741" s="69">
        <v>40047</v>
      </c>
      <c r="F741" s="69" t="s">
        <v>1691</v>
      </c>
      <c r="G741" s="119" t="s">
        <v>229</v>
      </c>
      <c r="H741" s="69" t="s">
        <v>1692</v>
      </c>
      <c r="I741" s="69" t="s">
        <v>59</v>
      </c>
      <c r="J741" s="69">
        <v>58</v>
      </c>
      <c r="K741" s="120" t="s">
        <v>1693</v>
      </c>
      <c r="L741" s="120" t="s">
        <v>1693</v>
      </c>
      <c r="M741" s="69">
        <v>6204430000</v>
      </c>
      <c r="N741" s="7"/>
      <c r="O741" s="117" t="s">
        <v>94</v>
      </c>
      <c r="P741">
        <v>1</v>
      </c>
    </row>
    <row r="742" spans="1:16" customFormat="1" ht="15">
      <c r="A742" s="118" t="str">
        <f>LEFT(M742,4)</f>
        <v>6204</v>
      </c>
      <c r="B742" s="84" t="str">
        <f t="shared" si="13"/>
        <v>ПЛАТЬЕ Без товарного знака жен. Артикул 3314 цвет Электрик р. 54</v>
      </c>
      <c r="C742" s="69" t="s">
        <v>1690</v>
      </c>
      <c r="D742" s="69" t="s">
        <v>55</v>
      </c>
      <c r="E742" s="69">
        <v>3314</v>
      </c>
      <c r="F742" s="69" t="s">
        <v>1691</v>
      </c>
      <c r="G742" s="119" t="s">
        <v>1571</v>
      </c>
      <c r="H742" s="69" t="s">
        <v>1692</v>
      </c>
      <c r="I742" s="69" t="s">
        <v>59</v>
      </c>
      <c r="J742" s="69">
        <v>54</v>
      </c>
      <c r="K742" s="120" t="s">
        <v>1744</v>
      </c>
      <c r="L742" s="120" t="s">
        <v>1744</v>
      </c>
      <c r="M742" s="69">
        <v>6204430000</v>
      </c>
      <c r="N742" s="7"/>
      <c r="O742" s="117" t="s">
        <v>94</v>
      </c>
      <c r="P742">
        <v>1</v>
      </c>
    </row>
    <row r="743" spans="1:16" customFormat="1" ht="15">
      <c r="A743" s="118" t="str">
        <f>LEFT(M743,4)</f>
        <v>6204</v>
      </c>
      <c r="B743" s="84" t="str">
        <f t="shared" si="13"/>
        <v>ПЛАТЬЕ Без товарного знака жен. Артикул 3314 цвет Электрик р. 56</v>
      </c>
      <c r="C743" s="69" t="s">
        <v>1690</v>
      </c>
      <c r="D743" s="69" t="s">
        <v>55</v>
      </c>
      <c r="E743" s="69">
        <v>3314</v>
      </c>
      <c r="F743" s="69" t="s">
        <v>1691</v>
      </c>
      <c r="G743" s="119" t="s">
        <v>1571</v>
      </c>
      <c r="H743" s="69" t="s">
        <v>1692</v>
      </c>
      <c r="I743" s="69" t="s">
        <v>59</v>
      </c>
      <c r="J743" s="69">
        <v>56</v>
      </c>
      <c r="K743" s="120" t="s">
        <v>1744</v>
      </c>
      <c r="L743" s="120" t="s">
        <v>1744</v>
      </c>
      <c r="M743" s="69">
        <v>6204430000</v>
      </c>
      <c r="N743" s="7"/>
      <c r="O743" s="117" t="s">
        <v>94</v>
      </c>
      <c r="P743">
        <v>1</v>
      </c>
    </row>
    <row r="744" spans="1:16" customFormat="1" ht="15">
      <c r="A744" s="118" t="str">
        <f>LEFT(M744,4)</f>
        <v>6204</v>
      </c>
      <c r="B744" s="84" t="str">
        <f t="shared" si="13"/>
        <v>ПЛАТЬЕ Без товарного знака жен. Артикул 3314 цвет Электрик р. 58</v>
      </c>
      <c r="C744" s="69" t="s">
        <v>1690</v>
      </c>
      <c r="D744" s="69" t="s">
        <v>55</v>
      </c>
      <c r="E744" s="69">
        <v>3314</v>
      </c>
      <c r="F744" s="69" t="s">
        <v>1691</v>
      </c>
      <c r="G744" s="119" t="s">
        <v>1571</v>
      </c>
      <c r="H744" s="69" t="s">
        <v>1692</v>
      </c>
      <c r="I744" s="69" t="s">
        <v>59</v>
      </c>
      <c r="J744" s="69">
        <v>58</v>
      </c>
      <c r="K744" s="120" t="s">
        <v>1744</v>
      </c>
      <c r="L744" s="120" t="s">
        <v>1744</v>
      </c>
      <c r="M744" s="69">
        <v>6204430000</v>
      </c>
      <c r="N744" s="7"/>
      <c r="O744" s="117" t="s">
        <v>94</v>
      </c>
      <c r="P744">
        <v>1</v>
      </c>
    </row>
    <row r="745" spans="1:16" customFormat="1" ht="15">
      <c r="A745" s="118" t="str">
        <f>LEFT(M745,4)</f>
        <v>6204</v>
      </c>
      <c r="B745" s="84" t="str">
        <f t="shared" si="13"/>
        <v>ПЛАТЬЕ Без товарного знака жен. Артикул 3314 цвет Электрик р. 60</v>
      </c>
      <c r="C745" s="69" t="s">
        <v>1690</v>
      </c>
      <c r="D745" s="69" t="s">
        <v>55</v>
      </c>
      <c r="E745" s="69">
        <v>3314</v>
      </c>
      <c r="F745" s="69" t="s">
        <v>1691</v>
      </c>
      <c r="G745" s="119" t="s">
        <v>1571</v>
      </c>
      <c r="H745" s="69" t="s">
        <v>1692</v>
      </c>
      <c r="I745" s="69" t="s">
        <v>59</v>
      </c>
      <c r="J745" s="69">
        <v>60</v>
      </c>
      <c r="K745" s="120" t="s">
        <v>1744</v>
      </c>
      <c r="L745" s="120" t="s">
        <v>1744</v>
      </c>
      <c r="M745" s="69">
        <v>6204430000</v>
      </c>
      <c r="N745" s="7"/>
      <c r="O745" s="117" t="s">
        <v>94</v>
      </c>
      <c r="P745">
        <v>1</v>
      </c>
    </row>
    <row r="746" spans="1:16" customFormat="1" ht="15">
      <c r="A746" s="118" t="str">
        <f>LEFT(M746,4)</f>
        <v>6204</v>
      </c>
      <c r="B746" s="84" t="str">
        <f t="shared" si="13"/>
        <v>ПЛАТЬЕ Без товарного знака жен. Артикул 7327 цвет СЕРЫЙ р. 56</v>
      </c>
      <c r="C746" s="69" t="s">
        <v>1690</v>
      </c>
      <c r="D746" s="69" t="s">
        <v>55</v>
      </c>
      <c r="E746" s="69">
        <v>7327</v>
      </c>
      <c r="F746" s="69" t="s">
        <v>1691</v>
      </c>
      <c r="G746" s="119" t="s">
        <v>273</v>
      </c>
      <c r="H746" s="69" t="s">
        <v>1692</v>
      </c>
      <c r="I746" s="69" t="s">
        <v>59</v>
      </c>
      <c r="J746" s="69">
        <v>56</v>
      </c>
      <c r="K746" s="120" t="s">
        <v>1712</v>
      </c>
      <c r="L746" s="120" t="s">
        <v>1712</v>
      </c>
      <c r="M746" s="69">
        <v>6204430000</v>
      </c>
      <c r="N746" s="7"/>
      <c r="O746" s="117" t="s">
        <v>94</v>
      </c>
      <c r="P746">
        <v>1</v>
      </c>
    </row>
    <row r="747" spans="1:16" customFormat="1" ht="15">
      <c r="A747" s="118" t="str">
        <f>LEFT(M747,4)</f>
        <v>6204</v>
      </c>
      <c r="B747" s="84" t="str">
        <f t="shared" si="13"/>
        <v>ПЛАТЬЕ Без товарного знака жен. Артикул 7327 цвет СЕРЫЙ р. 60</v>
      </c>
      <c r="C747" s="69" t="s">
        <v>1690</v>
      </c>
      <c r="D747" s="69" t="s">
        <v>55</v>
      </c>
      <c r="E747" s="69">
        <v>7327</v>
      </c>
      <c r="F747" s="69" t="s">
        <v>1691</v>
      </c>
      <c r="G747" s="119" t="s">
        <v>273</v>
      </c>
      <c r="H747" s="69" t="s">
        <v>1692</v>
      </c>
      <c r="I747" s="69" t="s">
        <v>59</v>
      </c>
      <c r="J747" s="69">
        <v>60</v>
      </c>
      <c r="K747" s="120" t="s">
        <v>1712</v>
      </c>
      <c r="L747" s="120" t="s">
        <v>1712</v>
      </c>
      <c r="M747" s="69">
        <v>6204430000</v>
      </c>
      <c r="N747" s="7"/>
      <c r="O747" s="117" t="s">
        <v>94</v>
      </c>
      <c r="P747">
        <v>1</v>
      </c>
    </row>
    <row r="748" spans="1:16" customFormat="1" ht="15">
      <c r="A748" s="118" t="str">
        <f>LEFT(M748,4)</f>
        <v>6204</v>
      </c>
      <c r="B748" s="84" t="str">
        <f t="shared" si="13"/>
        <v>ПЛАТЬЕ Без товарного знака жен. Артикул 7327 цвет СЕРЫЙ р. 62</v>
      </c>
      <c r="C748" s="69" t="s">
        <v>1690</v>
      </c>
      <c r="D748" s="69" t="s">
        <v>55</v>
      </c>
      <c r="E748" s="69">
        <v>7327</v>
      </c>
      <c r="F748" s="69" t="s">
        <v>1691</v>
      </c>
      <c r="G748" s="119" t="s">
        <v>273</v>
      </c>
      <c r="H748" s="69" t="s">
        <v>1692</v>
      </c>
      <c r="I748" s="69" t="s">
        <v>59</v>
      </c>
      <c r="J748" s="69">
        <v>62</v>
      </c>
      <c r="K748" s="120" t="s">
        <v>1712</v>
      </c>
      <c r="L748" s="120" t="s">
        <v>1712</v>
      </c>
      <c r="M748" s="69">
        <v>6204430000</v>
      </c>
      <c r="N748" s="7"/>
      <c r="O748" s="117" t="s">
        <v>94</v>
      </c>
      <c r="P748">
        <v>1</v>
      </c>
    </row>
    <row r="749" spans="1:16" customFormat="1" ht="15">
      <c r="A749" s="118" t="str">
        <f>LEFT(M749,4)</f>
        <v>6204</v>
      </c>
      <c r="B749" s="84" t="str">
        <f t="shared" si="13"/>
        <v>ПЛАТЬЕ Без товарного знака жен. Артикул 5027 цвет ЗОЛОТОЙ р. 56</v>
      </c>
      <c r="C749" s="69" t="s">
        <v>1690</v>
      </c>
      <c r="D749" s="69" t="s">
        <v>55</v>
      </c>
      <c r="E749" s="69">
        <v>5027</v>
      </c>
      <c r="F749" s="69" t="s">
        <v>1691</v>
      </c>
      <c r="G749" s="119" t="s">
        <v>156</v>
      </c>
      <c r="H749" s="69" t="s">
        <v>1692</v>
      </c>
      <c r="I749" s="69" t="s">
        <v>59</v>
      </c>
      <c r="J749" s="69">
        <v>56</v>
      </c>
      <c r="K749" s="120" t="s">
        <v>1693</v>
      </c>
      <c r="L749" s="120" t="s">
        <v>1693</v>
      </c>
      <c r="M749" s="69">
        <v>6204430000</v>
      </c>
      <c r="N749" s="7"/>
      <c r="O749" s="117" t="s">
        <v>94</v>
      </c>
      <c r="P749">
        <v>1</v>
      </c>
    </row>
    <row r="750" spans="1:16" customFormat="1" ht="15">
      <c r="A750" s="118" t="str">
        <f>LEFT(M750,4)</f>
        <v>6204</v>
      </c>
      <c r="B750" s="84" t="str">
        <f t="shared" si="13"/>
        <v>ПЛАТЬЕ Без товарного знака жен. Артикул 5027 цвет ИЗУМРУД р. 56</v>
      </c>
      <c r="C750" s="69" t="s">
        <v>1690</v>
      </c>
      <c r="D750" s="69" t="s">
        <v>55</v>
      </c>
      <c r="E750" s="69">
        <v>5027</v>
      </c>
      <c r="F750" s="69" t="s">
        <v>1691</v>
      </c>
      <c r="G750" s="119" t="s">
        <v>1974</v>
      </c>
      <c r="H750" s="69" t="s">
        <v>1692</v>
      </c>
      <c r="I750" s="69" t="s">
        <v>59</v>
      </c>
      <c r="J750" s="69">
        <v>56</v>
      </c>
      <c r="K750" s="120" t="s">
        <v>1693</v>
      </c>
      <c r="L750" s="120" t="s">
        <v>1693</v>
      </c>
      <c r="M750" s="69">
        <v>6204430000</v>
      </c>
      <c r="N750" s="7"/>
      <c r="O750" s="117" t="s">
        <v>94</v>
      </c>
      <c r="P750">
        <v>1</v>
      </c>
    </row>
    <row r="751" spans="1:16" customFormat="1" ht="15">
      <c r="A751" s="118" t="str">
        <f>LEFT(M751,4)</f>
        <v>6204</v>
      </c>
      <c r="B751" s="84" t="str">
        <f t="shared" si="13"/>
        <v>ПЛАТЬЕ Без товарного знака жен. Артикул 2905 цвет ТЕМНО-СИНИЙ р. 52</v>
      </c>
      <c r="C751" s="69" t="s">
        <v>1690</v>
      </c>
      <c r="D751" s="69" t="s">
        <v>55</v>
      </c>
      <c r="E751" s="69">
        <v>2905</v>
      </c>
      <c r="F751" s="69" t="s">
        <v>1691</v>
      </c>
      <c r="G751" s="119" t="s">
        <v>309</v>
      </c>
      <c r="H751" s="69" t="s">
        <v>1692</v>
      </c>
      <c r="I751" s="69" t="s">
        <v>59</v>
      </c>
      <c r="J751" s="69">
        <v>52</v>
      </c>
      <c r="K751" s="120" t="s">
        <v>1693</v>
      </c>
      <c r="L751" s="120" t="s">
        <v>1693</v>
      </c>
      <c r="M751" s="69">
        <v>6204430000</v>
      </c>
      <c r="N751" s="7"/>
      <c r="O751" s="117" t="s">
        <v>94</v>
      </c>
      <c r="P751">
        <v>1</v>
      </c>
    </row>
    <row r="752" spans="1:16" customFormat="1" ht="15">
      <c r="A752" s="118" t="str">
        <f>LEFT(M752,4)</f>
        <v>6204</v>
      </c>
      <c r="B752" s="84" t="str">
        <f t="shared" si="13"/>
        <v>ПЛАТЬЕ Без товарного знака жен. Артикул 2905 цвет ТЕМНО-СИНИЙ р. 56</v>
      </c>
      <c r="C752" s="69" t="s">
        <v>1690</v>
      </c>
      <c r="D752" s="69" t="s">
        <v>55</v>
      </c>
      <c r="E752" s="69">
        <v>2905</v>
      </c>
      <c r="F752" s="69" t="s">
        <v>1691</v>
      </c>
      <c r="G752" s="119" t="s">
        <v>309</v>
      </c>
      <c r="H752" s="69" t="s">
        <v>1692</v>
      </c>
      <c r="I752" s="69" t="s">
        <v>59</v>
      </c>
      <c r="J752" s="69">
        <v>56</v>
      </c>
      <c r="K752" s="120" t="s">
        <v>1693</v>
      </c>
      <c r="L752" s="120" t="s">
        <v>1693</v>
      </c>
      <c r="M752" s="69">
        <v>6204430000</v>
      </c>
      <c r="N752" s="7"/>
      <c r="O752" s="117" t="s">
        <v>94</v>
      </c>
      <c r="P752">
        <v>1</v>
      </c>
    </row>
    <row r="753" spans="1:16" customFormat="1" ht="15">
      <c r="A753" s="118" t="str">
        <f>LEFT(M753,4)</f>
        <v>6204</v>
      </c>
      <c r="B753" s="84" t="str">
        <f t="shared" si="13"/>
        <v>ПЛАТЬЕ Без товарного знака жен. Артикул 4461 цвет ТЕМНО-СИНИЙ р. 56</v>
      </c>
      <c r="C753" s="69" t="s">
        <v>1690</v>
      </c>
      <c r="D753" s="69" t="s">
        <v>55</v>
      </c>
      <c r="E753" s="69">
        <v>4461</v>
      </c>
      <c r="F753" s="69" t="s">
        <v>1691</v>
      </c>
      <c r="G753" s="119" t="s">
        <v>309</v>
      </c>
      <c r="H753" s="69" t="s">
        <v>1692</v>
      </c>
      <c r="I753" s="69" t="s">
        <v>59</v>
      </c>
      <c r="J753" s="69">
        <v>56</v>
      </c>
      <c r="K753" s="120" t="s">
        <v>1693</v>
      </c>
      <c r="L753" s="120" t="s">
        <v>1693</v>
      </c>
      <c r="M753" s="69">
        <v>6204430000</v>
      </c>
      <c r="N753" s="7"/>
      <c r="O753" s="117" t="s">
        <v>582</v>
      </c>
      <c r="P753">
        <v>1</v>
      </c>
    </row>
    <row r="754" spans="1:16" customFormat="1" ht="15">
      <c r="A754" s="118" t="str">
        <f>LEFT(M754,4)</f>
        <v>6204</v>
      </c>
      <c r="B754" s="84" t="str">
        <f t="shared" si="13"/>
        <v>ПЛАТЬЕ Без товарного знака жен. Артикул 4461 цвет ТЕМНО-СИНИЙ р. 58</v>
      </c>
      <c r="C754" s="69" t="s">
        <v>1690</v>
      </c>
      <c r="D754" s="69" t="s">
        <v>55</v>
      </c>
      <c r="E754" s="69">
        <v>4461</v>
      </c>
      <c r="F754" s="69" t="s">
        <v>1691</v>
      </c>
      <c r="G754" s="119" t="s">
        <v>309</v>
      </c>
      <c r="H754" s="69" t="s">
        <v>1692</v>
      </c>
      <c r="I754" s="69" t="s">
        <v>59</v>
      </c>
      <c r="J754" s="69">
        <v>58</v>
      </c>
      <c r="K754" s="120" t="s">
        <v>1693</v>
      </c>
      <c r="L754" s="120" t="s">
        <v>1693</v>
      </c>
      <c r="M754" s="69">
        <v>6204430000</v>
      </c>
      <c r="N754" s="7"/>
      <c r="O754" s="117" t="s">
        <v>582</v>
      </c>
      <c r="P754">
        <v>1</v>
      </c>
    </row>
    <row r="755" spans="1:16" customFormat="1" ht="15">
      <c r="A755" s="118" t="str">
        <f>LEFT(M755,4)</f>
        <v>6204</v>
      </c>
      <c r="B755" s="84" t="str">
        <f t="shared" si="13"/>
        <v>ПЛАТЬЕ Без товарного знака жен. Артикул 7056 цвет РАЗНОЦВЕТНЫЙ р. 52</v>
      </c>
      <c r="C755" s="69" t="s">
        <v>1690</v>
      </c>
      <c r="D755" s="69" t="s">
        <v>55</v>
      </c>
      <c r="E755" s="69">
        <v>7056</v>
      </c>
      <c r="F755" s="69" t="s">
        <v>1691</v>
      </c>
      <c r="G755" s="119" t="s">
        <v>229</v>
      </c>
      <c r="H755" s="69" t="s">
        <v>1692</v>
      </c>
      <c r="I755" s="69" t="s">
        <v>59</v>
      </c>
      <c r="J755" s="69">
        <v>52</v>
      </c>
      <c r="K755" s="120" t="s">
        <v>1765</v>
      </c>
      <c r="L755" s="120" t="s">
        <v>1765</v>
      </c>
      <c r="M755" s="69">
        <v>6204440000</v>
      </c>
      <c r="N755" s="7"/>
      <c r="O755" s="117" t="s">
        <v>94</v>
      </c>
      <c r="P755">
        <v>1</v>
      </c>
    </row>
    <row r="756" spans="1:16" customFormat="1" ht="15">
      <c r="A756" s="118" t="str">
        <f>LEFT(M756,4)</f>
        <v>6204</v>
      </c>
      <c r="B756" s="84" t="str">
        <f t="shared" si="13"/>
        <v>ПЛАТЬЕ Без товарного знака жен. Артикул 7056 цвет РАЗНОЦВЕТНЫЙ р. 56</v>
      </c>
      <c r="C756" s="69" t="s">
        <v>1690</v>
      </c>
      <c r="D756" s="69" t="s">
        <v>55</v>
      </c>
      <c r="E756" s="69">
        <v>7056</v>
      </c>
      <c r="F756" s="69" t="s">
        <v>1691</v>
      </c>
      <c r="G756" s="119" t="s">
        <v>229</v>
      </c>
      <c r="H756" s="69" t="s">
        <v>1692</v>
      </c>
      <c r="I756" s="69" t="s">
        <v>59</v>
      </c>
      <c r="J756" s="69">
        <v>56</v>
      </c>
      <c r="K756" s="120" t="s">
        <v>1765</v>
      </c>
      <c r="L756" s="120" t="s">
        <v>1765</v>
      </c>
      <c r="M756" s="69">
        <v>6204440000</v>
      </c>
      <c r="N756" s="7"/>
      <c r="O756" s="117" t="s">
        <v>94</v>
      </c>
      <c r="P756">
        <v>1</v>
      </c>
    </row>
    <row r="757" spans="1:16" customFormat="1" ht="15">
      <c r="A757" s="118" t="str">
        <f>LEFT(M757,4)</f>
        <v>6204</v>
      </c>
      <c r="B757" s="84" t="str">
        <f t="shared" si="13"/>
        <v>ПЛАТЬЕ Без товарного знака жен. Артикул 3905 цвет ЗЕЛЕНЫЙ р. 54</v>
      </c>
      <c r="C757" s="69" t="s">
        <v>1690</v>
      </c>
      <c r="D757" s="69" t="s">
        <v>55</v>
      </c>
      <c r="E757" s="69">
        <v>3905</v>
      </c>
      <c r="F757" s="69" t="s">
        <v>1691</v>
      </c>
      <c r="G757" s="119" t="s">
        <v>345</v>
      </c>
      <c r="H757" s="69" t="s">
        <v>1692</v>
      </c>
      <c r="I757" s="69" t="s">
        <v>59</v>
      </c>
      <c r="J757" s="69">
        <v>54</v>
      </c>
      <c r="K757" s="120" t="s">
        <v>1975</v>
      </c>
      <c r="L757" s="120" t="s">
        <v>1975</v>
      </c>
      <c r="M757" s="69">
        <v>6204440000</v>
      </c>
      <c r="N757" s="7"/>
      <c r="O757" s="117" t="s">
        <v>94</v>
      </c>
      <c r="P757">
        <v>1</v>
      </c>
    </row>
    <row r="758" spans="1:16" customFormat="1" ht="15">
      <c r="A758" s="118" t="str">
        <f>LEFT(M758,4)</f>
        <v>6204</v>
      </c>
      <c r="B758" s="84" t="str">
        <f t="shared" si="13"/>
        <v>ПЛАТЬЕ Без товарного знака жен. Артикул 4827 цвет РАЗНОЦВЕТНЫЙ р. 56</v>
      </c>
      <c r="C758" s="69" t="s">
        <v>1690</v>
      </c>
      <c r="D758" s="69" t="s">
        <v>55</v>
      </c>
      <c r="E758" s="69">
        <v>4827</v>
      </c>
      <c r="F758" s="69" t="s">
        <v>1691</v>
      </c>
      <c r="G758" s="119" t="s">
        <v>229</v>
      </c>
      <c r="H758" s="69" t="s">
        <v>1692</v>
      </c>
      <c r="I758" s="69" t="s">
        <v>59</v>
      </c>
      <c r="J758" s="69">
        <v>56</v>
      </c>
      <c r="K758" s="120" t="s">
        <v>1693</v>
      </c>
      <c r="L758" s="120" t="s">
        <v>1693</v>
      </c>
      <c r="M758" s="69">
        <v>6204430000</v>
      </c>
      <c r="N758" s="7"/>
      <c r="O758" s="117" t="s">
        <v>94</v>
      </c>
      <c r="P758">
        <v>1</v>
      </c>
    </row>
    <row r="759" spans="1:16" customFormat="1" ht="15">
      <c r="A759" s="118" t="str">
        <f>LEFT(M759,4)</f>
        <v>6204</v>
      </c>
      <c r="B759" s="84" t="str">
        <f t="shared" si="13"/>
        <v>ПЛАТЬЕ Без товарного знака жен. Артикул 7178 цвет РАЗНОЦВЕТНЫЙ р. 56</v>
      </c>
      <c r="C759" s="69" t="s">
        <v>1690</v>
      </c>
      <c r="D759" s="69" t="s">
        <v>55</v>
      </c>
      <c r="E759" s="69">
        <v>7178</v>
      </c>
      <c r="F759" s="69" t="s">
        <v>1691</v>
      </c>
      <c r="G759" s="119" t="s">
        <v>229</v>
      </c>
      <c r="H759" s="69" t="s">
        <v>1692</v>
      </c>
      <c r="I759" s="69" t="s">
        <v>59</v>
      </c>
      <c r="J759" s="69">
        <v>56</v>
      </c>
      <c r="K759" s="120" t="s">
        <v>1765</v>
      </c>
      <c r="L759" s="120" t="s">
        <v>1765</v>
      </c>
      <c r="M759" s="69">
        <v>6204440000</v>
      </c>
      <c r="N759" s="7"/>
      <c r="O759" s="117" t="s">
        <v>94</v>
      </c>
      <c r="P759">
        <v>1</v>
      </c>
    </row>
    <row r="760" spans="1:16" customFormat="1" ht="15">
      <c r="A760" s="118" t="str">
        <f>LEFT(M760,4)</f>
        <v>6204</v>
      </c>
      <c r="B760" s="84" t="str">
        <f t="shared" si="13"/>
        <v>ПЛАТЬЕ Без товарного знака жен. Артикул 7178 цвет РАЗНОЦВЕТНЫЙ р. 58</v>
      </c>
      <c r="C760" s="69" t="s">
        <v>1690</v>
      </c>
      <c r="D760" s="69" t="s">
        <v>55</v>
      </c>
      <c r="E760" s="69">
        <v>7178</v>
      </c>
      <c r="F760" s="69" t="s">
        <v>1691</v>
      </c>
      <c r="G760" s="119" t="s">
        <v>229</v>
      </c>
      <c r="H760" s="69" t="s">
        <v>1692</v>
      </c>
      <c r="I760" s="69" t="s">
        <v>59</v>
      </c>
      <c r="J760" s="69">
        <v>58</v>
      </c>
      <c r="K760" s="120" t="s">
        <v>1765</v>
      </c>
      <c r="L760" s="120" t="s">
        <v>1765</v>
      </c>
      <c r="M760" s="69">
        <v>6204440000</v>
      </c>
      <c r="N760" s="7"/>
      <c r="O760" s="117" t="s">
        <v>94</v>
      </c>
      <c r="P760">
        <v>1</v>
      </c>
    </row>
    <row r="761" spans="1:16" customFormat="1" ht="15">
      <c r="A761" s="118" t="str">
        <f>LEFT(M761,4)</f>
        <v>6204</v>
      </c>
      <c r="B761" s="84" t="str">
        <f t="shared" si="13"/>
        <v>ПЛАТЬЕ Без товарного знака жен. Артикул 3833 цвет КРАСНЫЙ р. 56</v>
      </c>
      <c r="C761" s="69" t="s">
        <v>1690</v>
      </c>
      <c r="D761" s="69" t="s">
        <v>55</v>
      </c>
      <c r="E761" s="69">
        <v>3833</v>
      </c>
      <c r="F761" s="69" t="s">
        <v>1691</v>
      </c>
      <c r="G761" s="119" t="s">
        <v>180</v>
      </c>
      <c r="H761" s="69" t="s">
        <v>1692</v>
      </c>
      <c r="I761" s="69" t="s">
        <v>59</v>
      </c>
      <c r="J761" s="69">
        <v>56</v>
      </c>
      <c r="K761" s="120" t="s">
        <v>1693</v>
      </c>
      <c r="L761" s="120" t="s">
        <v>1693</v>
      </c>
      <c r="M761" s="69">
        <v>6204430000</v>
      </c>
      <c r="N761" s="7"/>
      <c r="O761" s="117" t="s">
        <v>94</v>
      </c>
      <c r="P761">
        <v>1</v>
      </c>
    </row>
    <row r="762" spans="1:16" customFormat="1" ht="15">
      <c r="A762" s="118" t="str">
        <f>LEFT(M762,4)</f>
        <v>6204</v>
      </c>
      <c r="B762" s="84" t="str">
        <f t="shared" si="13"/>
        <v>ПЛАТЬЕ Без товарного знака жен. Артикул 927 цвет КРАСНЫЙ р. 56</v>
      </c>
      <c r="C762" s="69" t="s">
        <v>1690</v>
      </c>
      <c r="D762" s="69" t="s">
        <v>55</v>
      </c>
      <c r="E762" s="69">
        <v>927</v>
      </c>
      <c r="F762" s="69" t="s">
        <v>1691</v>
      </c>
      <c r="G762" s="119" t="s">
        <v>180</v>
      </c>
      <c r="H762" s="69" t="s">
        <v>1692</v>
      </c>
      <c r="I762" s="69" t="s">
        <v>59</v>
      </c>
      <c r="J762" s="69">
        <v>56</v>
      </c>
      <c r="K762" s="120" t="s">
        <v>1693</v>
      </c>
      <c r="L762" s="120" t="s">
        <v>1693</v>
      </c>
      <c r="M762" s="69">
        <v>6204430000</v>
      </c>
      <c r="N762" s="7"/>
      <c r="O762" s="117" t="s">
        <v>94</v>
      </c>
      <c r="P762">
        <v>1</v>
      </c>
    </row>
    <row r="763" spans="1:16" customFormat="1" ht="15">
      <c r="A763" s="118" t="str">
        <f>LEFT(M763,4)</f>
        <v>6204</v>
      </c>
      <c r="B763" s="84" t="str">
        <f t="shared" si="13"/>
        <v>ПЛАТЬЕ Без товарного знака жен. Артикул 5387 цвет КОРАЛЛОВЫЙ р. 56</v>
      </c>
      <c r="C763" s="69" t="s">
        <v>1690</v>
      </c>
      <c r="D763" s="69" t="s">
        <v>55</v>
      </c>
      <c r="E763" s="69">
        <v>5387</v>
      </c>
      <c r="F763" s="69" t="s">
        <v>1691</v>
      </c>
      <c r="G763" s="119" t="s">
        <v>172</v>
      </c>
      <c r="H763" s="69" t="s">
        <v>1692</v>
      </c>
      <c r="I763" s="69" t="s">
        <v>59</v>
      </c>
      <c r="J763" s="69">
        <v>56</v>
      </c>
      <c r="K763" s="120" t="s">
        <v>1693</v>
      </c>
      <c r="L763" s="120" t="s">
        <v>1693</v>
      </c>
      <c r="M763" s="69">
        <v>6204430000</v>
      </c>
      <c r="N763" s="7"/>
      <c r="O763" s="117" t="s">
        <v>94</v>
      </c>
      <c r="P763">
        <v>1</v>
      </c>
    </row>
    <row r="764" spans="1:16" customFormat="1" ht="15">
      <c r="A764" s="118" t="str">
        <f>LEFT(M764,4)</f>
        <v>6204</v>
      </c>
      <c r="B764" s="84" t="str">
        <f t="shared" si="13"/>
        <v>ПЛАТЬЕ Без товарного знака жен. Артикул 5387 цвет КОРАЛЛОВЫЙ р. 54</v>
      </c>
      <c r="C764" s="69" t="s">
        <v>1690</v>
      </c>
      <c r="D764" s="69" t="s">
        <v>55</v>
      </c>
      <c r="E764" s="69">
        <v>5387</v>
      </c>
      <c r="F764" s="69" t="s">
        <v>1691</v>
      </c>
      <c r="G764" s="119" t="s">
        <v>172</v>
      </c>
      <c r="H764" s="69" t="s">
        <v>1692</v>
      </c>
      <c r="I764" s="69" t="s">
        <v>59</v>
      </c>
      <c r="J764" s="69">
        <v>54</v>
      </c>
      <c r="K764" s="120" t="s">
        <v>1693</v>
      </c>
      <c r="L764" s="120" t="s">
        <v>1693</v>
      </c>
      <c r="M764" s="69">
        <v>6204430000</v>
      </c>
      <c r="N764" s="7"/>
      <c r="O764" s="117" t="s">
        <v>94</v>
      </c>
      <c r="P764">
        <v>1</v>
      </c>
    </row>
    <row r="765" spans="1:16" customFormat="1" ht="15">
      <c r="A765" s="118" t="str">
        <f>LEFT(M765,4)</f>
        <v>6204</v>
      </c>
      <c r="B765" s="84" t="str">
        <f t="shared" si="13"/>
        <v>ПЛАТЬЕ Без товарного знака жен. Артикул 2010 цвет ПУДРА р. 50</v>
      </c>
      <c r="C765" s="69" t="s">
        <v>1690</v>
      </c>
      <c r="D765" s="69" t="s">
        <v>55</v>
      </c>
      <c r="E765" s="69">
        <v>2010</v>
      </c>
      <c r="F765" s="69" t="s">
        <v>1691</v>
      </c>
      <c r="G765" s="121" t="s">
        <v>1774</v>
      </c>
      <c r="H765" s="69" t="s">
        <v>1692</v>
      </c>
      <c r="I765" s="69" t="s">
        <v>59</v>
      </c>
      <c r="J765" s="69">
        <v>50</v>
      </c>
      <c r="K765" s="120" t="s">
        <v>1693</v>
      </c>
      <c r="L765" s="120" t="s">
        <v>1693</v>
      </c>
      <c r="M765" s="69">
        <v>6204430000</v>
      </c>
      <c r="N765" s="7"/>
      <c r="O765" s="117" t="s">
        <v>94</v>
      </c>
      <c r="P765">
        <v>1</v>
      </c>
    </row>
    <row r="766" spans="1:16" customFormat="1" ht="15">
      <c r="A766" s="118" t="str">
        <f>LEFT(M766,4)</f>
        <v>6204</v>
      </c>
      <c r="B766" s="84" t="str">
        <f t="shared" si="13"/>
        <v>ПЛАТЬЕ Без товарного знака жен. Артикул 2010 цвет ПУДРА р. 54</v>
      </c>
      <c r="C766" s="69" t="s">
        <v>1690</v>
      </c>
      <c r="D766" s="69" t="s">
        <v>55</v>
      </c>
      <c r="E766" s="69">
        <v>2010</v>
      </c>
      <c r="F766" s="69" t="s">
        <v>1691</v>
      </c>
      <c r="G766" s="121" t="s">
        <v>1774</v>
      </c>
      <c r="H766" s="69" t="s">
        <v>1692</v>
      </c>
      <c r="I766" s="69" t="s">
        <v>59</v>
      </c>
      <c r="J766" s="69">
        <v>54</v>
      </c>
      <c r="K766" s="120" t="s">
        <v>1693</v>
      </c>
      <c r="L766" s="120" t="s">
        <v>1693</v>
      </c>
      <c r="M766" s="69">
        <v>6204430000</v>
      </c>
      <c r="N766" s="7"/>
      <c r="O766" s="117" t="s">
        <v>94</v>
      </c>
      <c r="P766">
        <v>1</v>
      </c>
    </row>
    <row r="767" spans="1:16" customFormat="1" ht="15">
      <c r="A767" s="118" t="str">
        <f>LEFT(M767,4)</f>
        <v>6204</v>
      </c>
      <c r="B767" s="84" t="str">
        <f t="shared" si="13"/>
        <v>ПЛАТЬЕ Без товарного знака жен. Артикул 2010 цвет ПУДРА р. 56</v>
      </c>
      <c r="C767" s="69" t="s">
        <v>1690</v>
      </c>
      <c r="D767" s="69" t="s">
        <v>55</v>
      </c>
      <c r="E767" s="69">
        <v>2010</v>
      </c>
      <c r="F767" s="69" t="s">
        <v>1691</v>
      </c>
      <c r="G767" s="121" t="s">
        <v>1774</v>
      </c>
      <c r="H767" s="69" t="s">
        <v>1692</v>
      </c>
      <c r="I767" s="69" t="s">
        <v>59</v>
      </c>
      <c r="J767" s="69">
        <v>56</v>
      </c>
      <c r="K767" s="120" t="s">
        <v>1693</v>
      </c>
      <c r="L767" s="120" t="s">
        <v>1693</v>
      </c>
      <c r="M767" s="69">
        <v>6204430000</v>
      </c>
      <c r="N767" s="7"/>
      <c r="O767" s="117" t="s">
        <v>94</v>
      </c>
      <c r="P767">
        <v>1</v>
      </c>
    </row>
    <row r="768" spans="1:16" customFormat="1" ht="15">
      <c r="A768" s="118" t="str">
        <f>LEFT(M768,4)</f>
        <v>6204</v>
      </c>
      <c r="B768" s="84" t="str">
        <f t="shared" si="13"/>
        <v>ПЛАТЬЕ Без товарного знака жен. Артикул 4879 цвет РАЗНОЦВЕТНЫЙ р. 56</v>
      </c>
      <c r="C768" s="69" t="s">
        <v>1690</v>
      </c>
      <c r="D768" s="69" t="s">
        <v>55</v>
      </c>
      <c r="E768" s="69">
        <v>4879</v>
      </c>
      <c r="F768" s="69" t="s">
        <v>1691</v>
      </c>
      <c r="G768" s="119" t="s">
        <v>229</v>
      </c>
      <c r="H768" s="69" t="s">
        <v>1692</v>
      </c>
      <c r="I768" s="69" t="s">
        <v>59</v>
      </c>
      <c r="J768" s="69">
        <v>56</v>
      </c>
      <c r="K768" s="120" t="s">
        <v>1693</v>
      </c>
      <c r="L768" s="120" t="s">
        <v>1693</v>
      </c>
      <c r="M768" s="69">
        <v>6204430000</v>
      </c>
      <c r="N768" s="7"/>
      <c r="O768" s="117" t="s">
        <v>94</v>
      </c>
      <c r="P768">
        <v>1</v>
      </c>
    </row>
    <row r="769" spans="1:16" customFormat="1" ht="15">
      <c r="A769" s="118" t="str">
        <f>LEFT(M769,4)</f>
        <v>6204</v>
      </c>
      <c r="B769" s="84" t="str">
        <f t="shared" si="13"/>
        <v>ПЛАТЬЕ Без товарного знака жен. Артикул 120441 цвет ФУКСИЯ р. 54</v>
      </c>
      <c r="C769" s="69" t="s">
        <v>1690</v>
      </c>
      <c r="D769" s="69" t="s">
        <v>55</v>
      </c>
      <c r="E769" s="69">
        <v>120441</v>
      </c>
      <c r="F769" s="69" t="s">
        <v>1691</v>
      </c>
      <c r="G769" s="119" t="s">
        <v>321</v>
      </c>
      <c r="H769" s="69" t="s">
        <v>1692</v>
      </c>
      <c r="I769" s="69" t="s">
        <v>59</v>
      </c>
      <c r="J769" s="69">
        <v>54</v>
      </c>
      <c r="K769" s="120" t="s">
        <v>1976</v>
      </c>
      <c r="L769" s="120" t="s">
        <v>1976</v>
      </c>
      <c r="M769" s="69">
        <v>6204440000</v>
      </c>
      <c r="N769" s="7"/>
      <c r="O769" s="117" t="s">
        <v>59</v>
      </c>
      <c r="P769">
        <v>1</v>
      </c>
    </row>
    <row r="770" spans="1:16" customFormat="1" ht="15">
      <c r="A770" s="118" t="str">
        <f>LEFT(M770,4)</f>
        <v>6204</v>
      </c>
      <c r="B770" s="84" t="str">
        <f t="shared" si="13"/>
        <v>ПЛАТЬЕ Без товарного знака жен. Артикул 4872 цвет РАЗНОЦВЕТНЫЙ р. 52</v>
      </c>
      <c r="C770" s="69" t="s">
        <v>1690</v>
      </c>
      <c r="D770" s="69" t="s">
        <v>55</v>
      </c>
      <c r="E770" s="69">
        <v>4872</v>
      </c>
      <c r="F770" s="69" t="s">
        <v>1691</v>
      </c>
      <c r="G770" s="119" t="s">
        <v>229</v>
      </c>
      <c r="H770" s="69" t="s">
        <v>1692</v>
      </c>
      <c r="I770" s="69" t="s">
        <v>59</v>
      </c>
      <c r="J770" s="69">
        <v>52</v>
      </c>
      <c r="K770" s="120" t="s">
        <v>1693</v>
      </c>
      <c r="L770" s="120" t="s">
        <v>1693</v>
      </c>
      <c r="M770" s="69">
        <v>6204430000</v>
      </c>
      <c r="N770" s="7"/>
      <c r="O770" s="117" t="s">
        <v>94</v>
      </c>
      <c r="P770">
        <v>1</v>
      </c>
    </row>
    <row r="771" spans="1:16" customFormat="1" ht="15">
      <c r="A771" s="118" t="str">
        <f>LEFT(M771,4)</f>
        <v>6204</v>
      </c>
      <c r="B771" s="84" t="str">
        <f t="shared" si="13"/>
        <v>ПЛАТЬЕ Без товарного знака жен. Артикул 4872 цвет РАЗНОЦВЕТНЫЙ р. 56</v>
      </c>
      <c r="C771" s="69" t="s">
        <v>1690</v>
      </c>
      <c r="D771" s="69" t="s">
        <v>55</v>
      </c>
      <c r="E771" s="69">
        <v>4872</v>
      </c>
      <c r="F771" s="69" t="s">
        <v>1691</v>
      </c>
      <c r="G771" s="119" t="s">
        <v>229</v>
      </c>
      <c r="H771" s="69" t="s">
        <v>1692</v>
      </c>
      <c r="I771" s="69" t="s">
        <v>59</v>
      </c>
      <c r="J771" s="69">
        <v>56</v>
      </c>
      <c r="K771" s="120" t="s">
        <v>1977</v>
      </c>
      <c r="L771" s="120" t="s">
        <v>1977</v>
      </c>
      <c r="M771" s="69">
        <v>6204440000</v>
      </c>
      <c r="N771" s="7"/>
      <c r="O771" s="117" t="s">
        <v>94</v>
      </c>
      <c r="P771">
        <v>1</v>
      </c>
    </row>
    <row r="772" spans="1:16" customFormat="1" ht="15">
      <c r="A772" s="118" t="str">
        <f>LEFT(M772,4)</f>
        <v>6204</v>
      </c>
      <c r="B772" s="84" t="str">
        <f t="shared" si="13"/>
        <v>ПЛАТЬЕ Без товарного знака жен. Артикул 105342 цвет РАЗНОЦВЕТНЫЙ р. 48</v>
      </c>
      <c r="C772" s="69" t="s">
        <v>1690</v>
      </c>
      <c r="D772" s="69" t="s">
        <v>55</v>
      </c>
      <c r="E772" s="69">
        <v>105342</v>
      </c>
      <c r="F772" s="69" t="s">
        <v>1691</v>
      </c>
      <c r="G772" s="119" t="s">
        <v>229</v>
      </c>
      <c r="H772" s="69" t="s">
        <v>1692</v>
      </c>
      <c r="I772" s="69" t="s">
        <v>59</v>
      </c>
      <c r="J772" s="69">
        <v>48</v>
      </c>
      <c r="K772" s="120" t="s">
        <v>1977</v>
      </c>
      <c r="L772" s="120" t="s">
        <v>1977</v>
      </c>
      <c r="M772" s="69">
        <v>6204440000</v>
      </c>
      <c r="N772" s="7"/>
      <c r="O772" s="117" t="s">
        <v>59</v>
      </c>
      <c r="P772">
        <v>1</v>
      </c>
    </row>
    <row r="773" spans="1:16" customFormat="1" ht="15">
      <c r="A773" s="118" t="str">
        <f>LEFT(M773,4)</f>
        <v>6204</v>
      </c>
      <c r="B773" s="84" t="str">
        <f t="shared" si="13"/>
        <v>ПЛАТЬЕ Без товарного знака жен. Артикул 130000 цвет СЕРЫЙ р. 48</v>
      </c>
      <c r="C773" s="69" t="s">
        <v>1690</v>
      </c>
      <c r="D773" s="69" t="s">
        <v>55</v>
      </c>
      <c r="E773" s="69">
        <v>130000</v>
      </c>
      <c r="F773" s="69" t="s">
        <v>1691</v>
      </c>
      <c r="G773" s="119" t="s">
        <v>273</v>
      </c>
      <c r="H773" s="69" t="s">
        <v>1692</v>
      </c>
      <c r="I773" s="69" t="s">
        <v>59</v>
      </c>
      <c r="J773" s="69">
        <v>48</v>
      </c>
      <c r="K773" s="120" t="s">
        <v>1977</v>
      </c>
      <c r="L773" s="120" t="s">
        <v>1977</v>
      </c>
      <c r="M773" s="69">
        <v>6204440000</v>
      </c>
      <c r="N773" s="7"/>
      <c r="O773" s="117" t="s">
        <v>59</v>
      </c>
      <c r="P773">
        <v>1</v>
      </c>
    </row>
    <row r="774" spans="1:16" customFormat="1" ht="15">
      <c r="A774" s="118" t="str">
        <f>LEFT(M774,4)</f>
        <v>6204</v>
      </c>
      <c r="B774" s="84" t="str">
        <f t="shared" si="13"/>
        <v>ПЛАТЬЕ Без товарного знака жен. Артикул 128941 цвет ФИОЛЕТОВЫЙ р. 48</v>
      </c>
      <c r="C774" s="69" t="s">
        <v>1690</v>
      </c>
      <c r="D774" s="69" t="s">
        <v>55</v>
      </c>
      <c r="E774" s="69">
        <v>128941</v>
      </c>
      <c r="F774" s="69" t="s">
        <v>1691</v>
      </c>
      <c r="G774" s="119" t="s">
        <v>318</v>
      </c>
      <c r="H774" s="69" t="s">
        <v>1692</v>
      </c>
      <c r="I774" s="69" t="s">
        <v>59</v>
      </c>
      <c r="J774" s="69">
        <v>48</v>
      </c>
      <c r="K774" s="120" t="s">
        <v>1763</v>
      </c>
      <c r="L774" s="120" t="s">
        <v>1763</v>
      </c>
      <c r="M774" s="69">
        <v>6204440000</v>
      </c>
      <c r="N774" s="7"/>
      <c r="O774" s="117" t="s">
        <v>59</v>
      </c>
      <c r="P774">
        <v>1</v>
      </c>
    </row>
    <row r="775" spans="1:16" customFormat="1" ht="15">
      <c r="A775" s="118" t="str">
        <f>LEFT(M775,4)</f>
        <v>6204</v>
      </c>
      <c r="B775" s="84" t="str">
        <f t="shared" si="13"/>
        <v>ПЛАТЬЕ Без товарного знака жен. Артикул 5060 цвет ЧЕРНЫЙ р. 52</v>
      </c>
      <c r="C775" s="69" t="s">
        <v>1690</v>
      </c>
      <c r="D775" s="69" t="s">
        <v>55</v>
      </c>
      <c r="E775" s="69">
        <v>5060</v>
      </c>
      <c r="F775" s="69" t="s">
        <v>1691</v>
      </c>
      <c r="G775" s="119" t="s">
        <v>330</v>
      </c>
      <c r="H775" s="69" t="s">
        <v>1692</v>
      </c>
      <c r="I775" s="69" t="s">
        <v>59</v>
      </c>
      <c r="J775" s="69">
        <v>52</v>
      </c>
      <c r="K775" s="120" t="s">
        <v>1693</v>
      </c>
      <c r="L775" s="120" t="s">
        <v>1693</v>
      </c>
      <c r="M775" s="69">
        <v>6204430000</v>
      </c>
      <c r="N775" s="7"/>
      <c r="O775" s="117" t="s">
        <v>94</v>
      </c>
      <c r="P775">
        <v>1</v>
      </c>
    </row>
    <row r="776" spans="1:16" customFormat="1" ht="15">
      <c r="A776" s="118" t="str">
        <f>LEFT(M776,4)</f>
        <v>6204</v>
      </c>
      <c r="B776" s="84" t="str">
        <f t="shared" si="13"/>
        <v>ПЛАТЬЕ Без товарного знака жен. Артикул 5060 цвет ЧЕРНЫЙ р. 54</v>
      </c>
      <c r="C776" s="69" t="s">
        <v>1690</v>
      </c>
      <c r="D776" s="69" t="s">
        <v>55</v>
      </c>
      <c r="E776" s="69">
        <v>5060</v>
      </c>
      <c r="F776" s="69" t="s">
        <v>1691</v>
      </c>
      <c r="G776" s="119" t="s">
        <v>330</v>
      </c>
      <c r="H776" s="69" t="s">
        <v>1692</v>
      </c>
      <c r="I776" s="69" t="s">
        <v>59</v>
      </c>
      <c r="J776" s="69">
        <v>54</v>
      </c>
      <c r="K776" s="120" t="s">
        <v>1693</v>
      </c>
      <c r="L776" s="120" t="s">
        <v>1693</v>
      </c>
      <c r="M776" s="69">
        <v>6204430000</v>
      </c>
      <c r="N776" s="7"/>
      <c r="O776" s="117" t="s">
        <v>94</v>
      </c>
      <c r="P776">
        <v>1</v>
      </c>
    </row>
    <row r="777" spans="1:16" customFormat="1" ht="15">
      <c r="A777" s="118" t="str">
        <f>LEFT(M777,4)</f>
        <v>6204</v>
      </c>
      <c r="B777" s="84" t="str">
        <f t="shared" si="13"/>
        <v>ПЛАТЬЕ Без товарного знака жен. Артикул 5060 цвет ЧЕРНЫЙ р. 56</v>
      </c>
      <c r="C777" s="69" t="s">
        <v>1690</v>
      </c>
      <c r="D777" s="69" t="s">
        <v>55</v>
      </c>
      <c r="E777" s="69">
        <v>5060</v>
      </c>
      <c r="F777" s="69" t="s">
        <v>1691</v>
      </c>
      <c r="G777" s="119" t="s">
        <v>330</v>
      </c>
      <c r="H777" s="69" t="s">
        <v>1692</v>
      </c>
      <c r="I777" s="69" t="s">
        <v>59</v>
      </c>
      <c r="J777" s="69">
        <v>56</v>
      </c>
      <c r="K777" s="120" t="s">
        <v>1693</v>
      </c>
      <c r="L777" s="120" t="s">
        <v>1693</v>
      </c>
      <c r="M777" s="69">
        <v>6204430000</v>
      </c>
      <c r="N777" s="7"/>
      <c r="O777" s="117" t="s">
        <v>94</v>
      </c>
      <c r="P777">
        <v>1</v>
      </c>
    </row>
    <row r="778" spans="1:16" customFormat="1" ht="15">
      <c r="A778" s="118" t="str">
        <f>LEFT(M778,4)</f>
        <v>6204</v>
      </c>
      <c r="B778" s="84" t="str">
        <f t="shared" si="13"/>
        <v>ПЛАТЬЕ Без товарного знака жен. Артикул 5060 цвет ЧЕРНЫЙ р. 58</v>
      </c>
      <c r="C778" s="69" t="s">
        <v>1690</v>
      </c>
      <c r="D778" s="69" t="s">
        <v>55</v>
      </c>
      <c r="E778" s="69">
        <v>5060</v>
      </c>
      <c r="F778" s="69" t="s">
        <v>1691</v>
      </c>
      <c r="G778" s="119" t="s">
        <v>330</v>
      </c>
      <c r="H778" s="69" t="s">
        <v>1692</v>
      </c>
      <c r="I778" s="69" t="s">
        <v>59</v>
      </c>
      <c r="J778" s="69">
        <v>58</v>
      </c>
      <c r="K778" s="120" t="s">
        <v>1693</v>
      </c>
      <c r="L778" s="120" t="s">
        <v>1693</v>
      </c>
      <c r="M778" s="69">
        <v>6204430000</v>
      </c>
      <c r="N778" s="7"/>
      <c r="O778" s="117" t="s">
        <v>94</v>
      </c>
      <c r="P778">
        <v>1</v>
      </c>
    </row>
    <row r="779" spans="1:16" customFormat="1" ht="15">
      <c r="A779" s="118" t="str">
        <f>LEFT(M779,4)</f>
        <v>6204</v>
      </c>
      <c r="B779" s="84" t="str">
        <f t="shared" si="13"/>
        <v>ПЛАТЬЕ Без товарного знака жен. Артикул 419163 цвет РАЗНОЦВЕТНЫЙ р. 56</v>
      </c>
      <c r="C779" s="69" t="s">
        <v>1690</v>
      </c>
      <c r="D779" s="69" t="s">
        <v>55</v>
      </c>
      <c r="E779" s="69">
        <v>419163</v>
      </c>
      <c r="F779" s="69" t="s">
        <v>1691</v>
      </c>
      <c r="G779" s="119" t="s">
        <v>229</v>
      </c>
      <c r="H779" s="69" t="s">
        <v>1692</v>
      </c>
      <c r="I779" s="69" t="s">
        <v>59</v>
      </c>
      <c r="J779" s="69">
        <v>56</v>
      </c>
      <c r="K779" s="120" t="s">
        <v>1693</v>
      </c>
      <c r="L779" s="120" t="s">
        <v>1693</v>
      </c>
      <c r="M779" s="69">
        <v>6204430000</v>
      </c>
      <c r="N779" s="7"/>
      <c r="O779" s="117" t="s">
        <v>94</v>
      </c>
      <c r="P779">
        <v>1</v>
      </c>
    </row>
    <row r="780" spans="1:16" customFormat="1" ht="15">
      <c r="A780" s="118" t="str">
        <f>LEFT(M780,4)</f>
        <v>6204</v>
      </c>
      <c r="B780" s="84" t="str">
        <f t="shared" si="13"/>
        <v>ПЛАТЬЕ Без товарного знака жен. Артикул 420925 цвет ЧЕРНЫЙ р. 56</v>
      </c>
      <c r="C780" s="69" t="s">
        <v>1690</v>
      </c>
      <c r="D780" s="69" t="s">
        <v>55</v>
      </c>
      <c r="E780" s="69">
        <v>420925</v>
      </c>
      <c r="F780" s="69" t="s">
        <v>1691</v>
      </c>
      <c r="G780" s="119" t="s">
        <v>330</v>
      </c>
      <c r="H780" s="69" t="s">
        <v>1692</v>
      </c>
      <c r="I780" s="69" t="s">
        <v>59</v>
      </c>
      <c r="J780" s="69">
        <v>56</v>
      </c>
      <c r="K780" s="120" t="s">
        <v>1693</v>
      </c>
      <c r="L780" s="120" t="s">
        <v>1693</v>
      </c>
      <c r="M780" s="69">
        <v>6204430000</v>
      </c>
      <c r="N780" s="7"/>
      <c r="O780" s="117" t="s">
        <v>94</v>
      </c>
      <c r="P780">
        <v>1</v>
      </c>
    </row>
    <row r="781" spans="1:16" customFormat="1" ht="15">
      <c r="A781" s="118" t="str">
        <f>LEFT(M781,4)</f>
        <v>6204</v>
      </c>
      <c r="B781" s="84" t="str">
        <f t="shared" ref="B781:B788" si="14">CONCATENATE(F781," ", C781," ",H781," ",D781," ", E781, " цвет ", G781, " р. ", J781)</f>
        <v>ПЛАТЬЕ Без товарного знака жен. Артикул 4402 цвет ЧЕРНЫЙ р. 54</v>
      </c>
      <c r="C781" s="69" t="s">
        <v>1690</v>
      </c>
      <c r="D781" s="69" t="s">
        <v>55</v>
      </c>
      <c r="E781" s="69">
        <v>4402</v>
      </c>
      <c r="F781" s="69" t="s">
        <v>1691</v>
      </c>
      <c r="G781" s="119" t="s">
        <v>330</v>
      </c>
      <c r="H781" s="69" t="s">
        <v>1692</v>
      </c>
      <c r="I781" s="69" t="s">
        <v>59</v>
      </c>
      <c r="J781" s="69">
        <v>54</v>
      </c>
      <c r="K781" s="120" t="s">
        <v>1693</v>
      </c>
      <c r="L781" s="120" t="s">
        <v>1693</v>
      </c>
      <c r="M781" s="69">
        <v>6204430000</v>
      </c>
      <c r="N781" s="7"/>
      <c r="O781" s="117" t="s">
        <v>94</v>
      </c>
      <c r="P781">
        <v>1</v>
      </c>
    </row>
    <row r="782" spans="1:16" customFormat="1" ht="15">
      <c r="A782" s="118" t="str">
        <f>LEFT(M782,4)</f>
        <v>6204</v>
      </c>
      <c r="B782" s="84" t="str">
        <f t="shared" si="14"/>
        <v>ПЛАТЬЕ Без товарного знака жен. Артикул 4402 цвет ЧЕРНЫЙ р. 56</v>
      </c>
      <c r="C782" s="69" t="s">
        <v>1690</v>
      </c>
      <c r="D782" s="69" t="s">
        <v>55</v>
      </c>
      <c r="E782" s="69">
        <v>4402</v>
      </c>
      <c r="F782" s="69" t="s">
        <v>1691</v>
      </c>
      <c r="G782" s="119" t="s">
        <v>330</v>
      </c>
      <c r="H782" s="69" t="s">
        <v>1692</v>
      </c>
      <c r="I782" s="69" t="s">
        <v>59</v>
      </c>
      <c r="J782" s="69">
        <v>56</v>
      </c>
      <c r="K782" s="120" t="s">
        <v>1693</v>
      </c>
      <c r="L782" s="120" t="s">
        <v>1693</v>
      </c>
      <c r="M782" s="69">
        <v>6204430000</v>
      </c>
      <c r="N782" s="7"/>
      <c r="O782" s="117" t="s">
        <v>94</v>
      </c>
      <c r="P782">
        <v>1</v>
      </c>
    </row>
    <row r="783" spans="1:16" customFormat="1" ht="15">
      <c r="A783" s="118" t="str">
        <f>LEFT(M783,4)</f>
        <v>6204</v>
      </c>
      <c r="B783" s="84" t="str">
        <f t="shared" si="14"/>
        <v>ПЛАТЬЕ Без товарного знака жен. Артикул 7224 цвет ЧЕРНЫЙ р. 56</v>
      </c>
      <c r="C783" s="69" t="s">
        <v>1690</v>
      </c>
      <c r="D783" s="69" t="s">
        <v>55</v>
      </c>
      <c r="E783" s="69">
        <v>7224</v>
      </c>
      <c r="F783" s="69" t="s">
        <v>1691</v>
      </c>
      <c r="G783" s="119" t="s">
        <v>330</v>
      </c>
      <c r="H783" s="69" t="s">
        <v>1692</v>
      </c>
      <c r="I783" s="69" t="s">
        <v>59</v>
      </c>
      <c r="J783" s="69">
        <v>56</v>
      </c>
      <c r="K783" s="120" t="s">
        <v>1765</v>
      </c>
      <c r="L783" s="120" t="s">
        <v>1765</v>
      </c>
      <c r="M783" s="69">
        <v>6204440000</v>
      </c>
      <c r="N783" s="7"/>
      <c r="O783" s="117" t="s">
        <v>94</v>
      </c>
      <c r="P783">
        <v>1</v>
      </c>
    </row>
    <row r="784" spans="1:16" customFormat="1" ht="15">
      <c r="A784" s="118" t="str">
        <f>LEFT(M784,4)</f>
        <v>6204</v>
      </c>
      <c r="B784" s="84" t="str">
        <f t="shared" si="14"/>
        <v>ПЛАТЬЕ Без товарного знака жен. Артикул 7224 цвет ЧЕРНЫЙ р. 58</v>
      </c>
      <c r="C784" s="69" t="s">
        <v>1690</v>
      </c>
      <c r="D784" s="69" t="s">
        <v>55</v>
      </c>
      <c r="E784" s="69">
        <v>7224</v>
      </c>
      <c r="F784" s="69" t="s">
        <v>1691</v>
      </c>
      <c r="G784" s="119" t="s">
        <v>330</v>
      </c>
      <c r="H784" s="69" t="s">
        <v>1692</v>
      </c>
      <c r="I784" s="69" t="s">
        <v>59</v>
      </c>
      <c r="J784" s="69">
        <v>58</v>
      </c>
      <c r="K784" s="120" t="s">
        <v>1765</v>
      </c>
      <c r="L784" s="120" t="s">
        <v>1765</v>
      </c>
      <c r="M784" s="69">
        <v>6204440000</v>
      </c>
      <c r="N784" s="7"/>
      <c r="O784" s="117" t="s">
        <v>94</v>
      </c>
      <c r="P784">
        <v>1</v>
      </c>
    </row>
    <row r="785" spans="1:16" customFormat="1" ht="15">
      <c r="A785" s="118" t="str">
        <f>LEFT(M785,4)</f>
        <v>6204</v>
      </c>
      <c r="B785" s="84" t="str">
        <f t="shared" si="14"/>
        <v>ПЛАТЬЕ Без товарного знака жен. Артикул 7224 цвет ЧЕРНЫЙ р. 60</v>
      </c>
      <c r="C785" s="69" t="s">
        <v>1690</v>
      </c>
      <c r="D785" s="69" t="s">
        <v>55</v>
      </c>
      <c r="E785" s="69">
        <v>7224</v>
      </c>
      <c r="F785" s="69" t="s">
        <v>1691</v>
      </c>
      <c r="G785" s="119" t="s">
        <v>330</v>
      </c>
      <c r="H785" s="69" t="s">
        <v>1692</v>
      </c>
      <c r="I785" s="69" t="s">
        <v>59</v>
      </c>
      <c r="J785" s="69">
        <v>60</v>
      </c>
      <c r="K785" s="120" t="s">
        <v>1765</v>
      </c>
      <c r="L785" s="120" t="s">
        <v>1765</v>
      </c>
      <c r="M785" s="69">
        <v>6204440000</v>
      </c>
      <c r="N785" s="7"/>
      <c r="O785" s="117" t="s">
        <v>94</v>
      </c>
      <c r="P785">
        <v>1</v>
      </c>
    </row>
    <row r="786" spans="1:16" customFormat="1" ht="15">
      <c r="A786" s="118" t="str">
        <f>LEFT(M786,4)</f>
        <v>6204</v>
      </c>
      <c r="B786" s="84" t="str">
        <f t="shared" si="14"/>
        <v>ПЛАТЬЕ Без товарного знака жен. Артикул 5042 цвет БИРЮЗОВЫЙ р. 48</v>
      </c>
      <c r="C786" s="69" t="s">
        <v>1690</v>
      </c>
      <c r="D786" s="69" t="s">
        <v>55</v>
      </c>
      <c r="E786" s="69">
        <v>5042</v>
      </c>
      <c r="F786" s="69" t="s">
        <v>1691</v>
      </c>
      <c r="G786" s="119" t="s">
        <v>111</v>
      </c>
      <c r="H786" s="69" t="s">
        <v>1692</v>
      </c>
      <c r="I786" s="69" t="s">
        <v>59</v>
      </c>
      <c r="J786" s="69">
        <v>48</v>
      </c>
      <c r="K786" s="120" t="s">
        <v>1978</v>
      </c>
      <c r="L786" s="120" t="s">
        <v>1978</v>
      </c>
      <c r="M786" s="69">
        <v>6204420000</v>
      </c>
      <c r="N786" s="7"/>
      <c r="O786" s="117" t="s">
        <v>94</v>
      </c>
      <c r="P786">
        <v>1</v>
      </c>
    </row>
    <row r="787" spans="1:16" customFormat="1" ht="15">
      <c r="A787" s="118" t="str">
        <f>LEFT(M787,4)</f>
        <v>6204</v>
      </c>
      <c r="B787" s="84" t="str">
        <f t="shared" si="14"/>
        <v>ПЛАТЬЕ Без товарного знака жен. Артикул 8877 цвет РАЗНОЦВЕТНЫЙ р. 46</v>
      </c>
      <c r="C787" s="69" t="s">
        <v>1690</v>
      </c>
      <c r="D787" s="69" t="s">
        <v>55</v>
      </c>
      <c r="E787" s="69">
        <v>8877</v>
      </c>
      <c r="F787" s="69" t="s">
        <v>1691</v>
      </c>
      <c r="G787" s="119" t="s">
        <v>229</v>
      </c>
      <c r="H787" s="69" t="s">
        <v>1692</v>
      </c>
      <c r="I787" s="69" t="s">
        <v>59</v>
      </c>
      <c r="J787" s="69">
        <v>46</v>
      </c>
      <c r="K787" s="120" t="s">
        <v>1979</v>
      </c>
      <c r="L787" s="120" t="s">
        <v>1979</v>
      </c>
      <c r="M787" s="69">
        <v>6204430000</v>
      </c>
      <c r="N787" s="7"/>
      <c r="O787" s="117" t="s">
        <v>94</v>
      </c>
      <c r="P787">
        <v>1</v>
      </c>
    </row>
    <row r="788" spans="1:16" customFormat="1" ht="15">
      <c r="A788" s="118" t="str">
        <f>LEFT(M788,4)</f>
        <v>6204</v>
      </c>
      <c r="B788" s="84" t="str">
        <f t="shared" si="14"/>
        <v>ПЛАТЬЕ Без товарного знака жен. Артикул 8877 цвет РАЗНОЦВЕТНЫЙ р. 48</v>
      </c>
      <c r="C788" s="69" t="s">
        <v>1690</v>
      </c>
      <c r="D788" s="69" t="s">
        <v>55</v>
      </c>
      <c r="E788" s="69">
        <v>8877</v>
      </c>
      <c r="F788" s="69" t="s">
        <v>1691</v>
      </c>
      <c r="G788" s="119" t="s">
        <v>229</v>
      </c>
      <c r="H788" s="69" t="s">
        <v>1692</v>
      </c>
      <c r="I788" s="69" t="s">
        <v>59</v>
      </c>
      <c r="J788" s="69">
        <v>48</v>
      </c>
      <c r="K788" s="120" t="s">
        <v>1979</v>
      </c>
      <c r="L788" s="120" t="s">
        <v>1979</v>
      </c>
      <c r="M788" s="69">
        <v>6204430000</v>
      </c>
      <c r="N788" s="7"/>
      <c r="O788" s="117" t="s">
        <v>94</v>
      </c>
      <c r="P788">
        <v>1</v>
      </c>
    </row>
  </sheetData>
  <sheetProtection formatColumns="0" formatRows="0" insertColumns="0" insertRows="0" deleteColumns="0" deleteRows="0" sort="0" autoFilter="0" pivotTables="0"/>
  <mergeCells count="9">
    <mergeCell ref="I4:J4"/>
    <mergeCell ref="D5:E5"/>
    <mergeCell ref="I5:J5"/>
    <mergeCell ref="A1:B1"/>
    <mergeCell ref="D1:E1"/>
    <mergeCell ref="A2:B2"/>
    <mergeCell ref="D2:E2"/>
    <mergeCell ref="A3:B3"/>
    <mergeCell ref="D4:E4"/>
  </mergeCells>
  <conditionalFormatting sqref="B8:B42">
    <cfRule type="expression" dxfId="9" priority="6">
      <formula>X8&gt;75</formula>
    </cfRule>
  </conditionalFormatting>
  <conditionalFormatting sqref="F1:F2">
    <cfRule type="notContainsBlanks" dxfId="8" priority="5">
      <formula>LEN(TRIM(F1))&gt;0</formula>
    </cfRule>
  </conditionalFormatting>
  <conditionalFormatting sqref="B43:B233">
    <cfRule type="expression" dxfId="7" priority="4">
      <formula>V43&gt;75</formula>
    </cfRule>
  </conditionalFormatting>
  <conditionalFormatting sqref="B234:B713">
    <cfRule type="expression" dxfId="6" priority="3">
      <formula>V234&gt;75</formula>
    </cfRule>
  </conditionalFormatting>
  <conditionalFormatting sqref="B714:B738">
    <cfRule type="expression" dxfId="5" priority="2">
      <formula>V714&gt;75</formula>
    </cfRule>
  </conditionalFormatting>
  <conditionalFormatting sqref="B739:B788">
    <cfRule type="expression" dxfId="4" priority="1">
      <formula>V739&gt;75</formula>
    </cfRule>
  </conditionalFormatting>
  <hyperlinks>
    <hyperlink ref="A7" location="ТНВЭД!A1" display="Информация по нужному коду на листе по ссылке"/>
    <hyperlink ref="M7" location="ТНВЭД!A1" display="Информация по нужному коду на листе по ссылке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Справочники!$D$1:$D$245</xm:f>
          </x14:formula1>
          <xm:sqref>O8:O42</xm:sqref>
        </x14:dataValidation>
        <x14:dataValidation type="list" allowBlank="1" showInputMessage="1" showErrorMessage="1">
          <x14:formula1>
            <xm:f>Справочники!$AI$1:$AI$3</xm:f>
          </x14:formula1>
          <xm:sqref>M8:M42</xm:sqref>
        </x14:dataValidation>
        <x14:dataValidation type="list" allowBlank="1" showInputMessage="1" showErrorMessage="1">
          <x14:formula1>
            <xm:f>Справочники!$P$1:$P$156</xm:f>
          </x14:formula1>
          <xm:sqref>J8:K502</xm:sqref>
        </x14:dataValidation>
        <x14:dataValidation type="list" allowBlank="1" showInputMessage="1" showErrorMessage="1">
          <x14:formula1>
            <xm:f>Справочники!$N$1</xm:f>
          </x14:formula1>
          <xm:sqref>I8:I502</xm:sqref>
        </x14:dataValidation>
        <x14:dataValidation type="list" allowBlank="1" showInputMessage="1" showErrorMessage="1">
          <x14:formula1>
            <xm:f>Справочники!$AC$1</xm:f>
          </x14:formula1>
          <xm:sqref>H8:H502</xm:sqref>
        </x14:dataValidation>
        <x14:dataValidation type="list" allowBlank="1" showInputMessage="1" showErrorMessage="1">
          <x14:formula1>
            <xm:f>Справочники!$X$1:$X$1099</xm:f>
          </x14:formula1>
          <xm:sqref>G8:G502</xm:sqref>
        </x14:dataValidation>
        <x14:dataValidation type="list" allowBlank="1" showInputMessage="1" showErrorMessage="1">
          <x14:formula1>
            <xm:f>Справочники!$I$1:$I$24</xm:f>
          </x14:formula1>
          <xm:sqref>F8:F502</xm:sqref>
        </x14:dataValidation>
        <x14:dataValidation type="list" allowBlank="1" showInputMessage="1" showErrorMessage="1">
          <x14:formula1>
            <xm:f>Справочники!$B$6:$B$8</xm:f>
          </x14:formula1>
          <xm:sqref>D8:D502</xm:sqref>
        </x14:dataValidation>
        <x14:dataValidation type="list" allowBlank="1" showInputMessage="1" showErrorMessage="1">
          <x14:formula1>
            <xm:f>Этикетки!$K$219:$K$220</xm:f>
          </x14:formula1>
          <xm:sqref>F1</xm:sqref>
        </x14:dataValidation>
        <x14:dataValidation type="list" allowBlank="1" showInputMessage="1" showErrorMessage="1">
          <x14:formula1>
            <xm:f>Справочники!$AL$2</xm:f>
          </x14:formula1>
          <xm:sqref>N8:N42 O43:O502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99"/>
  <sheetViews>
    <sheetView topLeftCell="AK1" zoomScaleNormal="100" workbookViewId="0">
      <selection activeCell="F3" sqref="F3"/>
    </sheetView>
  </sheetViews>
  <sheetFormatPr defaultColWidth="9.140625" defaultRowHeight="12.75"/>
  <cols>
    <col min="1" max="1" width="25" style="7" customWidth="1"/>
    <col min="2" max="2" width="50" style="7" customWidth="1"/>
    <col min="3" max="4" width="9.140625" style="7"/>
    <col min="5" max="5" width="34.140625" style="7" customWidth="1"/>
    <col min="6" max="8" width="9.140625" style="7"/>
    <col min="9" max="9" width="39.42578125" style="7" customWidth="1"/>
    <col min="10" max="12" width="9.140625" style="7"/>
    <col min="13" max="13" width="28.42578125" style="7" customWidth="1"/>
    <col min="14" max="14" width="15.28515625" style="7" customWidth="1"/>
    <col min="15" max="16" width="9.140625" style="7"/>
    <col min="17" max="20" width="9.140625" style="35"/>
    <col min="21" max="33" width="9.140625" style="7"/>
    <col min="34" max="34" width="13" style="7" customWidth="1"/>
    <col min="35" max="16384" width="9.140625" style="7"/>
  </cols>
  <sheetData>
    <row r="1" spans="1:38">
      <c r="A1" s="65" t="s">
        <v>65</v>
      </c>
      <c r="B1" s="66"/>
      <c r="C1" s="34" t="s">
        <v>31</v>
      </c>
      <c r="D1" s="34" t="s">
        <v>63</v>
      </c>
      <c r="H1" s="7" t="s">
        <v>10</v>
      </c>
      <c r="I1" s="7" t="s">
        <v>56</v>
      </c>
      <c r="M1" s="7" t="s">
        <v>66</v>
      </c>
      <c r="N1" s="7" t="s">
        <v>59</v>
      </c>
      <c r="P1" s="7" t="s">
        <v>67</v>
      </c>
      <c r="Q1" s="35">
        <v>65</v>
      </c>
      <c r="R1" s="35" t="str">
        <f>Q1&amp;"AA"</f>
        <v>65AA</v>
      </c>
      <c r="T1" s="35" t="s">
        <v>68</v>
      </c>
      <c r="W1" s="7" t="s">
        <v>11</v>
      </c>
      <c r="X1" s="7" t="s">
        <v>69</v>
      </c>
      <c r="AB1" s="7" t="s">
        <v>12</v>
      </c>
      <c r="AC1" s="7" t="s">
        <v>58</v>
      </c>
      <c r="AH1" s="7" t="s">
        <v>6</v>
      </c>
      <c r="AI1" s="7" t="s">
        <v>70</v>
      </c>
      <c r="AK1" s="7" t="s">
        <v>15</v>
      </c>
      <c r="AL1" s="7" t="s">
        <v>71</v>
      </c>
    </row>
    <row r="2" spans="1:38">
      <c r="A2" s="33" t="s">
        <v>72</v>
      </c>
      <c r="B2" s="33" t="s">
        <v>73</v>
      </c>
      <c r="C2" s="34" t="s">
        <v>31</v>
      </c>
      <c r="D2" s="34" t="s">
        <v>59</v>
      </c>
      <c r="H2" s="7" t="s">
        <v>10</v>
      </c>
      <c r="I2" s="7" t="s">
        <v>74</v>
      </c>
      <c r="M2" s="7" t="s">
        <v>66</v>
      </c>
      <c r="N2" s="7" t="s">
        <v>75</v>
      </c>
      <c r="P2" s="7" t="s">
        <v>76</v>
      </c>
      <c r="Q2" s="35">
        <f>Q1+5</f>
        <v>70</v>
      </c>
      <c r="R2" s="35" t="str">
        <f t="shared" ref="R2:R12" si="0">Q2&amp;"AA"</f>
        <v>70AA</v>
      </c>
      <c r="T2" s="35" t="s">
        <v>77</v>
      </c>
      <c r="W2" s="7" t="s">
        <v>11</v>
      </c>
      <c r="X2" s="7" t="s">
        <v>57</v>
      </c>
      <c r="AB2" s="7" t="s">
        <v>12</v>
      </c>
      <c r="AC2" s="7" t="s">
        <v>78</v>
      </c>
      <c r="AH2" s="7" t="s">
        <v>6</v>
      </c>
      <c r="AI2" s="7" t="s">
        <v>61</v>
      </c>
      <c r="AK2" s="7" t="s">
        <v>15</v>
      </c>
      <c r="AL2" s="7" t="s">
        <v>62</v>
      </c>
    </row>
    <row r="3" spans="1:38">
      <c r="A3" s="33" t="s">
        <v>79</v>
      </c>
      <c r="B3" s="33" t="s">
        <v>80</v>
      </c>
      <c r="C3" s="34" t="s">
        <v>31</v>
      </c>
      <c r="D3" s="34" t="s">
        <v>81</v>
      </c>
      <c r="H3" s="7" t="s">
        <v>10</v>
      </c>
      <c r="I3" s="7" t="s">
        <v>82</v>
      </c>
      <c r="P3" s="7" t="s">
        <v>83</v>
      </c>
      <c r="Q3" s="35">
        <f t="shared" ref="Q3:Q12" si="1">Q2+5</f>
        <v>75</v>
      </c>
      <c r="R3" s="35" t="str">
        <f t="shared" si="0"/>
        <v>75AA</v>
      </c>
      <c r="T3" s="35" t="s">
        <v>84</v>
      </c>
      <c r="W3" s="7" t="s">
        <v>11</v>
      </c>
      <c r="X3" s="7" t="s">
        <v>85</v>
      </c>
      <c r="AB3" s="7" t="s">
        <v>12</v>
      </c>
      <c r="AC3" s="7" t="s">
        <v>86</v>
      </c>
      <c r="AH3" s="7" t="s">
        <v>6</v>
      </c>
      <c r="AI3" s="7" t="s">
        <v>87</v>
      </c>
    </row>
    <row r="4" spans="1:38">
      <c r="C4" s="34" t="s">
        <v>31</v>
      </c>
      <c r="D4" s="34" t="s">
        <v>88</v>
      </c>
      <c r="H4" s="7" t="s">
        <v>10</v>
      </c>
      <c r="I4" s="7" t="s">
        <v>89</v>
      </c>
      <c r="P4" s="7" t="s">
        <v>90</v>
      </c>
      <c r="Q4" s="35">
        <f t="shared" si="1"/>
        <v>80</v>
      </c>
      <c r="R4" s="35" t="str">
        <f t="shared" si="0"/>
        <v>80AA</v>
      </c>
      <c r="T4" s="35" t="s">
        <v>91</v>
      </c>
      <c r="W4" s="7" t="s">
        <v>11</v>
      </c>
      <c r="X4" s="7" t="s">
        <v>92</v>
      </c>
      <c r="AH4" s="7" t="s">
        <v>6</v>
      </c>
      <c r="AI4" s="7" t="s">
        <v>93</v>
      </c>
    </row>
    <row r="5" spans="1:38">
      <c r="C5" s="34" t="s">
        <v>31</v>
      </c>
      <c r="D5" s="34" t="s">
        <v>94</v>
      </c>
      <c r="H5" s="7" t="s">
        <v>10</v>
      </c>
      <c r="I5" s="7" t="s">
        <v>95</v>
      </c>
      <c r="P5" s="7" t="s">
        <v>96</v>
      </c>
      <c r="Q5" s="35">
        <f t="shared" si="1"/>
        <v>85</v>
      </c>
      <c r="R5" s="35" t="str">
        <f t="shared" si="0"/>
        <v>85AA</v>
      </c>
      <c r="T5" s="35" t="s">
        <v>97</v>
      </c>
      <c r="W5" s="7" t="s">
        <v>11</v>
      </c>
      <c r="X5" s="7" t="s">
        <v>98</v>
      </c>
      <c r="AH5" s="7" t="s">
        <v>6</v>
      </c>
      <c r="AI5" s="7" t="s">
        <v>99</v>
      </c>
    </row>
    <row r="6" spans="1:38">
      <c r="A6" s="7" t="s">
        <v>100</v>
      </c>
      <c r="B6" s="7" t="s">
        <v>101</v>
      </c>
      <c r="C6" s="34" t="s">
        <v>31</v>
      </c>
      <c r="D6" s="34" t="s">
        <v>102</v>
      </c>
      <c r="H6" s="7" t="s">
        <v>10</v>
      </c>
      <c r="I6" s="7" t="s">
        <v>103</v>
      </c>
      <c r="P6" s="7" t="s">
        <v>104</v>
      </c>
      <c r="Q6" s="35">
        <f t="shared" si="1"/>
        <v>90</v>
      </c>
      <c r="R6" s="35" t="str">
        <f t="shared" si="0"/>
        <v>90AA</v>
      </c>
      <c r="T6" s="35" t="s">
        <v>105</v>
      </c>
      <c r="W6" s="7" t="s">
        <v>11</v>
      </c>
      <c r="X6" s="7" t="s">
        <v>106</v>
      </c>
    </row>
    <row r="7" spans="1:38">
      <c r="A7" s="7" t="s">
        <v>100</v>
      </c>
      <c r="B7" s="7" t="s">
        <v>55</v>
      </c>
      <c r="C7" s="34" t="s">
        <v>31</v>
      </c>
      <c r="D7" s="34" t="s">
        <v>107</v>
      </c>
      <c r="H7" s="7" t="s">
        <v>10</v>
      </c>
      <c r="I7" s="7" t="s">
        <v>108</v>
      </c>
      <c r="P7" s="7" t="s">
        <v>109</v>
      </c>
      <c r="Q7" s="35">
        <f t="shared" si="1"/>
        <v>95</v>
      </c>
      <c r="R7" s="35" t="str">
        <f t="shared" si="0"/>
        <v>95AA</v>
      </c>
      <c r="T7" s="35" t="s">
        <v>110</v>
      </c>
      <c r="W7" s="7" t="s">
        <v>11</v>
      </c>
      <c r="X7" s="7" t="s">
        <v>111</v>
      </c>
    </row>
    <row r="8" spans="1:38">
      <c r="A8" s="7" t="s">
        <v>100</v>
      </c>
      <c r="B8" s="7" t="s">
        <v>112</v>
      </c>
      <c r="C8" s="34" t="s">
        <v>31</v>
      </c>
      <c r="D8" s="34" t="s">
        <v>113</v>
      </c>
      <c r="H8" s="7" t="s">
        <v>10</v>
      </c>
      <c r="I8" s="7" t="s">
        <v>114</v>
      </c>
      <c r="P8" s="7" t="s">
        <v>115</v>
      </c>
      <c r="Q8" s="35">
        <f t="shared" si="1"/>
        <v>100</v>
      </c>
      <c r="R8" s="35" t="str">
        <f t="shared" si="0"/>
        <v>100AA</v>
      </c>
      <c r="T8" s="35" t="s">
        <v>116</v>
      </c>
      <c r="W8" s="7" t="s">
        <v>11</v>
      </c>
      <c r="X8" s="7" t="s">
        <v>117</v>
      </c>
    </row>
    <row r="9" spans="1:38">
      <c r="C9" s="34" t="s">
        <v>31</v>
      </c>
      <c r="D9" s="34" t="s">
        <v>118</v>
      </c>
      <c r="H9" s="7" t="s">
        <v>10</v>
      </c>
      <c r="I9" s="7" t="s">
        <v>119</v>
      </c>
      <c r="P9" s="7" t="s">
        <v>120</v>
      </c>
      <c r="Q9" s="35">
        <f t="shared" si="1"/>
        <v>105</v>
      </c>
      <c r="R9" s="35" t="str">
        <f t="shared" si="0"/>
        <v>105AA</v>
      </c>
      <c r="T9" s="35" t="s">
        <v>121</v>
      </c>
      <c r="W9" s="7" t="s">
        <v>11</v>
      </c>
      <c r="X9" s="7" t="s">
        <v>122</v>
      </c>
    </row>
    <row r="10" spans="1:38">
      <c r="C10" s="34" t="s">
        <v>31</v>
      </c>
      <c r="D10" s="34" t="s">
        <v>123</v>
      </c>
      <c r="H10" s="7" t="s">
        <v>10</v>
      </c>
      <c r="I10" s="7" t="s">
        <v>124</v>
      </c>
      <c r="P10" s="7" t="s">
        <v>125</v>
      </c>
      <c r="Q10" s="35">
        <f t="shared" si="1"/>
        <v>110</v>
      </c>
      <c r="R10" s="35" t="str">
        <f t="shared" si="0"/>
        <v>110AA</v>
      </c>
      <c r="T10" s="35" t="s">
        <v>126</v>
      </c>
      <c r="W10" s="7" t="s">
        <v>11</v>
      </c>
      <c r="X10" s="7" t="s">
        <v>127</v>
      </c>
    </row>
    <row r="11" spans="1:38">
      <c r="C11" s="34" t="s">
        <v>31</v>
      </c>
      <c r="D11" s="34" t="s">
        <v>128</v>
      </c>
      <c r="H11" s="7" t="s">
        <v>10</v>
      </c>
      <c r="I11" s="7" t="s">
        <v>129</v>
      </c>
      <c r="P11" s="7" t="s">
        <v>130</v>
      </c>
      <c r="Q11" s="35">
        <f t="shared" si="1"/>
        <v>115</v>
      </c>
      <c r="R11" s="35" t="str">
        <f t="shared" si="0"/>
        <v>115AA</v>
      </c>
      <c r="T11" s="35" t="s">
        <v>131</v>
      </c>
      <c r="W11" s="7" t="s">
        <v>11</v>
      </c>
      <c r="X11" s="7" t="s">
        <v>132</v>
      </c>
    </row>
    <row r="12" spans="1:38">
      <c r="C12" s="34" t="s">
        <v>31</v>
      </c>
      <c r="D12" s="34" t="s">
        <v>133</v>
      </c>
      <c r="H12" s="7" t="s">
        <v>10</v>
      </c>
      <c r="I12" s="7" t="s">
        <v>134</v>
      </c>
      <c r="P12" s="7" t="s">
        <v>135</v>
      </c>
      <c r="Q12" s="35">
        <f t="shared" si="1"/>
        <v>120</v>
      </c>
      <c r="R12" s="35" t="str">
        <f t="shared" si="0"/>
        <v>120AA</v>
      </c>
      <c r="T12" s="35" t="s">
        <v>136</v>
      </c>
      <c r="W12" s="7" t="s">
        <v>11</v>
      </c>
      <c r="X12" s="7" t="s">
        <v>137</v>
      </c>
    </row>
    <row r="13" spans="1:38">
      <c r="C13" s="34" t="s">
        <v>31</v>
      </c>
      <c r="D13" s="34" t="s">
        <v>138</v>
      </c>
      <c r="H13" s="7" t="s">
        <v>10</v>
      </c>
      <c r="I13" s="7" t="s">
        <v>139</v>
      </c>
      <c r="P13" s="7" t="s">
        <v>140</v>
      </c>
      <c r="Q13" s="35">
        <v>65</v>
      </c>
      <c r="R13" s="35" t="str">
        <f>Q13&amp;"A"</f>
        <v>65A</v>
      </c>
      <c r="W13" s="7" t="s">
        <v>11</v>
      </c>
      <c r="X13" s="7" t="s">
        <v>141</v>
      </c>
    </row>
    <row r="14" spans="1:38">
      <c r="C14" s="34" t="s">
        <v>31</v>
      </c>
      <c r="D14" s="34" t="s">
        <v>142</v>
      </c>
      <c r="H14" s="7" t="s">
        <v>10</v>
      </c>
      <c r="I14" s="7" t="s">
        <v>143</v>
      </c>
      <c r="P14" s="7" t="s">
        <v>60</v>
      </c>
      <c r="Q14" s="35">
        <v>70</v>
      </c>
      <c r="R14" s="35" t="str">
        <f t="shared" ref="R14:R24" si="2">Q14&amp;"A"</f>
        <v>70A</v>
      </c>
      <c r="W14" s="7" t="s">
        <v>11</v>
      </c>
      <c r="X14" s="7" t="s">
        <v>144</v>
      </c>
    </row>
    <row r="15" spans="1:38">
      <c r="C15" s="34" t="s">
        <v>31</v>
      </c>
      <c r="D15" s="34" t="s">
        <v>145</v>
      </c>
      <c r="H15" s="7" t="s">
        <v>10</v>
      </c>
      <c r="I15" s="7" t="s">
        <v>146</v>
      </c>
      <c r="P15" s="7" t="s">
        <v>147</v>
      </c>
      <c r="Q15" s="35">
        <v>75</v>
      </c>
      <c r="R15" s="35" t="str">
        <f t="shared" si="2"/>
        <v>75A</v>
      </c>
      <c r="W15" s="7" t="s">
        <v>11</v>
      </c>
      <c r="X15" s="7" t="s">
        <v>148</v>
      </c>
    </row>
    <row r="16" spans="1:38">
      <c r="C16" s="34" t="s">
        <v>31</v>
      </c>
      <c r="D16" s="34" t="s">
        <v>149</v>
      </c>
      <c r="H16" s="7" t="s">
        <v>10</v>
      </c>
      <c r="I16" s="7" t="s">
        <v>150</v>
      </c>
      <c r="P16" s="7" t="s">
        <v>151</v>
      </c>
      <c r="Q16" s="35">
        <v>80</v>
      </c>
      <c r="R16" s="35" t="str">
        <f t="shared" si="2"/>
        <v>80A</v>
      </c>
      <c r="W16" s="7" t="s">
        <v>11</v>
      </c>
      <c r="X16" s="7" t="s">
        <v>152</v>
      </c>
    </row>
    <row r="17" spans="3:24">
      <c r="C17" s="34" t="s">
        <v>31</v>
      </c>
      <c r="D17" s="34" t="s">
        <v>153</v>
      </c>
      <c r="H17" s="7" t="s">
        <v>10</v>
      </c>
      <c r="I17" s="7" t="s">
        <v>154</v>
      </c>
      <c r="P17" s="7" t="s">
        <v>155</v>
      </c>
      <c r="Q17" s="35">
        <v>85</v>
      </c>
      <c r="R17" s="35" t="str">
        <f t="shared" si="2"/>
        <v>85A</v>
      </c>
      <c r="W17" s="7" t="s">
        <v>11</v>
      </c>
      <c r="X17" s="7" t="s">
        <v>156</v>
      </c>
    </row>
    <row r="18" spans="3:24">
      <c r="C18" s="34" t="s">
        <v>31</v>
      </c>
      <c r="D18" s="34" t="s">
        <v>157</v>
      </c>
      <c r="H18" s="7" t="s">
        <v>10</v>
      </c>
      <c r="I18" s="7" t="s">
        <v>158</v>
      </c>
      <c r="P18" s="7" t="s">
        <v>159</v>
      </c>
      <c r="Q18" s="35">
        <v>90</v>
      </c>
      <c r="R18" s="35" t="str">
        <f t="shared" si="2"/>
        <v>90A</v>
      </c>
      <c r="W18" s="7" t="s">
        <v>11</v>
      </c>
      <c r="X18" s="7" t="s">
        <v>160</v>
      </c>
    </row>
    <row r="19" spans="3:24">
      <c r="C19" s="34" t="s">
        <v>31</v>
      </c>
      <c r="D19" s="34" t="s">
        <v>161</v>
      </c>
      <c r="H19" s="7" t="s">
        <v>10</v>
      </c>
      <c r="I19" s="7" t="s">
        <v>162</v>
      </c>
      <c r="P19" s="7" t="s">
        <v>163</v>
      </c>
      <c r="Q19" s="35">
        <v>95</v>
      </c>
      <c r="R19" s="35" t="str">
        <f t="shared" si="2"/>
        <v>95A</v>
      </c>
      <c r="W19" s="7" t="s">
        <v>11</v>
      </c>
      <c r="X19" s="7" t="s">
        <v>164</v>
      </c>
    </row>
    <row r="20" spans="3:24">
      <c r="C20" s="34" t="s">
        <v>31</v>
      </c>
      <c r="D20" s="34" t="s">
        <v>165</v>
      </c>
      <c r="H20" s="7" t="s">
        <v>10</v>
      </c>
      <c r="I20" s="7" t="s">
        <v>166</v>
      </c>
      <c r="P20" s="7" t="s">
        <v>167</v>
      </c>
      <c r="Q20" s="35">
        <v>100</v>
      </c>
      <c r="R20" s="35" t="str">
        <f t="shared" si="2"/>
        <v>100A</v>
      </c>
      <c r="W20" s="7" t="s">
        <v>11</v>
      </c>
      <c r="X20" s="7" t="s">
        <v>168</v>
      </c>
    </row>
    <row r="21" spans="3:24">
      <c r="C21" s="34" t="s">
        <v>31</v>
      </c>
      <c r="D21" s="34" t="s">
        <v>169</v>
      </c>
      <c r="H21" s="7" t="s">
        <v>10</v>
      </c>
      <c r="I21" s="7" t="s">
        <v>170</v>
      </c>
      <c r="P21" s="7" t="s">
        <v>171</v>
      </c>
      <c r="Q21" s="35">
        <v>105</v>
      </c>
      <c r="R21" s="35" t="str">
        <f t="shared" si="2"/>
        <v>105A</v>
      </c>
      <c r="W21" s="7" t="s">
        <v>11</v>
      </c>
      <c r="X21" s="7" t="s">
        <v>172</v>
      </c>
    </row>
    <row r="22" spans="3:24">
      <c r="C22" s="34" t="s">
        <v>31</v>
      </c>
      <c r="D22" s="34" t="s">
        <v>173</v>
      </c>
      <c r="H22" s="7" t="s">
        <v>10</v>
      </c>
      <c r="I22" s="7" t="s">
        <v>174</v>
      </c>
      <c r="P22" s="7" t="s">
        <v>175</v>
      </c>
      <c r="Q22" s="35">
        <v>110</v>
      </c>
      <c r="R22" s="35" t="str">
        <f t="shared" si="2"/>
        <v>110A</v>
      </c>
      <c r="W22" s="7" t="s">
        <v>11</v>
      </c>
      <c r="X22" s="7" t="s">
        <v>176</v>
      </c>
    </row>
    <row r="23" spans="3:24">
      <c r="C23" s="34" t="s">
        <v>31</v>
      </c>
      <c r="D23" s="34" t="s">
        <v>177</v>
      </c>
      <c r="H23" s="7" t="s">
        <v>10</v>
      </c>
      <c r="I23" s="7" t="s">
        <v>178</v>
      </c>
      <c r="P23" s="7" t="s">
        <v>179</v>
      </c>
      <c r="Q23" s="35">
        <v>115</v>
      </c>
      <c r="R23" s="35" t="str">
        <f t="shared" si="2"/>
        <v>115A</v>
      </c>
      <c r="W23" s="7" t="s">
        <v>11</v>
      </c>
      <c r="X23" s="7" t="s">
        <v>180</v>
      </c>
    </row>
    <row r="24" spans="3:24">
      <c r="C24" s="34" t="s">
        <v>31</v>
      </c>
      <c r="D24" s="34" t="s">
        <v>181</v>
      </c>
      <c r="H24" s="7" t="s">
        <v>10</v>
      </c>
      <c r="I24" s="7" t="s">
        <v>182</v>
      </c>
      <c r="P24" s="7" t="s">
        <v>183</v>
      </c>
      <c r="Q24" s="35">
        <v>120</v>
      </c>
      <c r="R24" s="35" t="str">
        <f t="shared" si="2"/>
        <v>120A</v>
      </c>
      <c r="W24" s="7" t="s">
        <v>11</v>
      </c>
      <c r="X24" s="7" t="s">
        <v>184</v>
      </c>
    </row>
    <row r="25" spans="3:24">
      <c r="C25" s="34" t="s">
        <v>31</v>
      </c>
      <c r="D25" s="34" t="s">
        <v>185</v>
      </c>
      <c r="P25" s="7" t="s">
        <v>186</v>
      </c>
      <c r="Q25" s="35">
        <v>65</v>
      </c>
      <c r="R25" s="35" t="str">
        <f>Q25&amp;"B"</f>
        <v>65B</v>
      </c>
      <c r="W25" s="7" t="s">
        <v>11</v>
      </c>
      <c r="X25" s="7" t="s">
        <v>187</v>
      </c>
    </row>
    <row r="26" spans="3:24">
      <c r="C26" s="34" t="s">
        <v>31</v>
      </c>
      <c r="D26" s="34" t="s">
        <v>188</v>
      </c>
      <c r="P26" s="7" t="s">
        <v>189</v>
      </c>
      <c r="Q26" s="35">
        <v>70</v>
      </c>
      <c r="R26" s="35" t="str">
        <f t="shared" ref="R26:R36" si="3">Q26&amp;"B"</f>
        <v>70B</v>
      </c>
      <c r="W26" s="7" t="s">
        <v>11</v>
      </c>
      <c r="X26" s="7" t="s">
        <v>190</v>
      </c>
    </row>
    <row r="27" spans="3:24">
      <c r="C27" s="34" t="s">
        <v>31</v>
      </c>
      <c r="D27" s="34" t="s">
        <v>191</v>
      </c>
      <c r="P27" s="7" t="s">
        <v>192</v>
      </c>
      <c r="Q27" s="35">
        <v>75</v>
      </c>
      <c r="R27" s="35" t="str">
        <f t="shared" si="3"/>
        <v>75B</v>
      </c>
      <c r="W27" s="7" t="s">
        <v>11</v>
      </c>
      <c r="X27" s="7" t="s">
        <v>193</v>
      </c>
    </row>
    <row r="28" spans="3:24">
      <c r="C28" s="34" t="s">
        <v>31</v>
      </c>
      <c r="D28" s="34" t="s">
        <v>194</v>
      </c>
      <c r="P28" s="7" t="s">
        <v>195</v>
      </c>
      <c r="Q28" s="35">
        <v>80</v>
      </c>
      <c r="R28" s="35" t="str">
        <f t="shared" si="3"/>
        <v>80B</v>
      </c>
      <c r="W28" s="7" t="s">
        <v>11</v>
      </c>
      <c r="X28" s="7" t="s">
        <v>196</v>
      </c>
    </row>
    <row r="29" spans="3:24">
      <c r="C29" s="34" t="s">
        <v>31</v>
      </c>
      <c r="D29" s="34" t="s">
        <v>197</v>
      </c>
      <c r="P29" s="7" t="s">
        <v>198</v>
      </c>
      <c r="Q29" s="35">
        <v>85</v>
      </c>
      <c r="R29" s="35" t="str">
        <f t="shared" si="3"/>
        <v>85B</v>
      </c>
      <c r="W29" s="7" t="s">
        <v>11</v>
      </c>
      <c r="X29" s="7" t="s">
        <v>199</v>
      </c>
    </row>
    <row r="30" spans="3:24">
      <c r="C30" s="34" t="s">
        <v>31</v>
      </c>
      <c r="D30" s="34" t="s">
        <v>200</v>
      </c>
      <c r="P30" s="7" t="s">
        <v>201</v>
      </c>
      <c r="Q30" s="35">
        <v>90</v>
      </c>
      <c r="R30" s="35" t="str">
        <f t="shared" si="3"/>
        <v>90B</v>
      </c>
      <c r="W30" s="7" t="s">
        <v>11</v>
      </c>
      <c r="X30" s="7" t="s">
        <v>202</v>
      </c>
    </row>
    <row r="31" spans="3:24">
      <c r="C31" s="34" t="s">
        <v>31</v>
      </c>
      <c r="D31" s="34" t="s">
        <v>203</v>
      </c>
      <c r="P31" s="7" t="s">
        <v>204</v>
      </c>
      <c r="Q31" s="35">
        <v>95</v>
      </c>
      <c r="R31" s="35" t="str">
        <f t="shared" si="3"/>
        <v>95B</v>
      </c>
      <c r="W31" s="7" t="s">
        <v>11</v>
      </c>
      <c r="X31" s="7" t="s">
        <v>205</v>
      </c>
    </row>
    <row r="32" spans="3:24">
      <c r="C32" s="34" t="s">
        <v>31</v>
      </c>
      <c r="D32" s="34" t="s">
        <v>206</v>
      </c>
      <c r="P32" s="7" t="s">
        <v>207</v>
      </c>
      <c r="Q32" s="35">
        <v>100</v>
      </c>
      <c r="R32" s="35" t="str">
        <f t="shared" si="3"/>
        <v>100B</v>
      </c>
      <c r="W32" s="7" t="s">
        <v>11</v>
      </c>
      <c r="X32" s="7" t="s">
        <v>208</v>
      </c>
    </row>
    <row r="33" spans="2:24">
      <c r="C33" s="34" t="s">
        <v>31</v>
      </c>
      <c r="D33" s="34" t="s">
        <v>209</v>
      </c>
      <c r="P33" s="7" t="s">
        <v>210</v>
      </c>
      <c r="Q33" s="35">
        <v>105</v>
      </c>
      <c r="R33" s="35" t="str">
        <f t="shared" si="3"/>
        <v>105B</v>
      </c>
      <c r="W33" s="7" t="s">
        <v>11</v>
      </c>
      <c r="X33" s="7" t="s">
        <v>211</v>
      </c>
    </row>
    <row r="34" spans="2:24">
      <c r="C34" s="34" t="s">
        <v>31</v>
      </c>
      <c r="D34" s="34" t="s">
        <v>212</v>
      </c>
      <c r="P34" s="7" t="s">
        <v>213</v>
      </c>
      <c r="Q34" s="35">
        <v>110</v>
      </c>
      <c r="R34" s="35" t="str">
        <f t="shared" si="3"/>
        <v>110B</v>
      </c>
      <c r="W34" s="7" t="s">
        <v>11</v>
      </c>
      <c r="X34" s="7" t="s">
        <v>214</v>
      </c>
    </row>
    <row r="35" spans="2:24">
      <c r="C35" s="34" t="s">
        <v>31</v>
      </c>
      <c r="D35" s="34" t="s">
        <v>215</v>
      </c>
      <c r="P35" s="7" t="s">
        <v>216</v>
      </c>
      <c r="Q35" s="35">
        <v>115</v>
      </c>
      <c r="R35" s="35" t="str">
        <f t="shared" si="3"/>
        <v>115B</v>
      </c>
      <c r="W35" s="7" t="s">
        <v>11</v>
      </c>
      <c r="X35" s="7" t="s">
        <v>217</v>
      </c>
    </row>
    <row r="36" spans="2:24">
      <c r="C36" s="34" t="s">
        <v>31</v>
      </c>
      <c r="D36" s="34" t="s">
        <v>218</v>
      </c>
      <c r="P36" s="7" t="s">
        <v>219</v>
      </c>
      <c r="Q36" s="35">
        <v>120</v>
      </c>
      <c r="R36" s="35" t="str">
        <f t="shared" si="3"/>
        <v>120B</v>
      </c>
      <c r="W36" s="7" t="s">
        <v>11</v>
      </c>
      <c r="X36" s="7" t="s">
        <v>220</v>
      </c>
    </row>
    <row r="37" spans="2:24">
      <c r="B37" s="36"/>
      <c r="C37" s="34" t="s">
        <v>31</v>
      </c>
      <c r="D37" s="34" t="s">
        <v>221</v>
      </c>
      <c r="P37" s="7" t="s">
        <v>222</v>
      </c>
      <c r="Q37" s="35">
        <v>65</v>
      </c>
      <c r="R37" s="35" t="str">
        <f>Q37&amp;"C"</f>
        <v>65C</v>
      </c>
      <c r="W37" s="7" t="s">
        <v>11</v>
      </c>
      <c r="X37" s="7" t="s">
        <v>223</v>
      </c>
    </row>
    <row r="38" spans="2:24">
      <c r="B38" s="36"/>
      <c r="C38" s="34" t="s">
        <v>31</v>
      </c>
      <c r="D38" s="34" t="s">
        <v>224</v>
      </c>
      <c r="P38" s="7" t="s">
        <v>225</v>
      </c>
      <c r="Q38" s="35">
        <v>70</v>
      </c>
      <c r="R38" s="35" t="str">
        <f t="shared" ref="R38:R48" si="4">Q38&amp;"C"</f>
        <v>70C</v>
      </c>
      <c r="W38" s="7" t="s">
        <v>11</v>
      </c>
      <c r="X38" s="7" t="s">
        <v>226</v>
      </c>
    </row>
    <row r="39" spans="2:24">
      <c r="C39" s="34" t="s">
        <v>31</v>
      </c>
      <c r="D39" s="34" t="s">
        <v>227</v>
      </c>
      <c r="P39" s="7" t="s">
        <v>228</v>
      </c>
      <c r="Q39" s="35">
        <v>75</v>
      </c>
      <c r="R39" s="35" t="str">
        <f t="shared" si="4"/>
        <v>75C</v>
      </c>
      <c r="W39" s="7" t="s">
        <v>11</v>
      </c>
      <c r="X39" s="7" t="s">
        <v>229</v>
      </c>
    </row>
    <row r="40" spans="2:24">
      <c r="C40" s="34" t="s">
        <v>31</v>
      </c>
      <c r="D40" s="34" t="s">
        <v>230</v>
      </c>
      <c r="P40" s="7" t="s">
        <v>231</v>
      </c>
      <c r="Q40" s="35">
        <v>80</v>
      </c>
      <c r="R40" s="35" t="str">
        <f t="shared" si="4"/>
        <v>80C</v>
      </c>
      <c r="W40" s="7" t="s">
        <v>11</v>
      </c>
      <c r="X40" s="7" t="s">
        <v>232</v>
      </c>
    </row>
    <row r="41" spans="2:24">
      <c r="C41" s="34" t="s">
        <v>31</v>
      </c>
      <c r="D41" s="34" t="s">
        <v>233</v>
      </c>
      <c r="P41" s="7" t="s">
        <v>234</v>
      </c>
      <c r="Q41" s="35">
        <v>85</v>
      </c>
      <c r="R41" s="35" t="str">
        <f t="shared" si="4"/>
        <v>85C</v>
      </c>
      <c r="W41" s="7" t="s">
        <v>11</v>
      </c>
      <c r="X41" s="7" t="s">
        <v>235</v>
      </c>
    </row>
    <row r="42" spans="2:24">
      <c r="C42" s="34" t="s">
        <v>31</v>
      </c>
      <c r="D42" s="34" t="s">
        <v>236</v>
      </c>
      <c r="P42" s="7" t="s">
        <v>237</v>
      </c>
      <c r="Q42" s="35">
        <v>90</v>
      </c>
      <c r="R42" s="35" t="str">
        <f t="shared" si="4"/>
        <v>90C</v>
      </c>
      <c r="W42" s="7" t="s">
        <v>11</v>
      </c>
      <c r="X42" s="7" t="s">
        <v>238</v>
      </c>
    </row>
    <row r="43" spans="2:24">
      <c r="B43" s="36"/>
      <c r="C43" s="34" t="s">
        <v>31</v>
      </c>
      <c r="D43" s="34" t="s">
        <v>239</v>
      </c>
      <c r="P43" s="7" t="s">
        <v>240</v>
      </c>
      <c r="Q43" s="35">
        <v>95</v>
      </c>
      <c r="R43" s="35" t="str">
        <f t="shared" si="4"/>
        <v>95C</v>
      </c>
      <c r="W43" s="7" t="s">
        <v>11</v>
      </c>
      <c r="X43" s="7" t="s">
        <v>241</v>
      </c>
    </row>
    <row r="44" spans="2:24">
      <c r="B44" s="36"/>
      <c r="C44" s="34" t="s">
        <v>31</v>
      </c>
      <c r="D44" s="34" t="s">
        <v>242</v>
      </c>
      <c r="P44" s="7" t="s">
        <v>243</v>
      </c>
      <c r="Q44" s="35">
        <v>100</v>
      </c>
      <c r="R44" s="35" t="str">
        <f t="shared" si="4"/>
        <v>100C</v>
      </c>
      <c r="W44" s="7" t="s">
        <v>11</v>
      </c>
      <c r="X44" s="7" t="s">
        <v>244</v>
      </c>
    </row>
    <row r="45" spans="2:24">
      <c r="C45" s="34" t="s">
        <v>31</v>
      </c>
      <c r="D45" s="34" t="s">
        <v>245</v>
      </c>
      <c r="P45" s="7" t="s">
        <v>246</v>
      </c>
      <c r="Q45" s="35">
        <v>105</v>
      </c>
      <c r="R45" s="35" t="str">
        <f t="shared" si="4"/>
        <v>105C</v>
      </c>
      <c r="W45" s="7" t="s">
        <v>11</v>
      </c>
      <c r="X45" s="7" t="s">
        <v>247</v>
      </c>
    </row>
    <row r="46" spans="2:24">
      <c r="C46" s="34" t="s">
        <v>31</v>
      </c>
      <c r="D46" s="34" t="s">
        <v>248</v>
      </c>
      <c r="P46" s="7" t="s">
        <v>249</v>
      </c>
      <c r="Q46" s="35">
        <v>110</v>
      </c>
      <c r="R46" s="35" t="str">
        <f t="shared" si="4"/>
        <v>110C</v>
      </c>
      <c r="W46" s="7" t="s">
        <v>11</v>
      </c>
      <c r="X46" s="7" t="s">
        <v>250</v>
      </c>
    </row>
    <row r="47" spans="2:24">
      <c r="C47" s="34" t="s">
        <v>31</v>
      </c>
      <c r="D47" s="34" t="s">
        <v>251</v>
      </c>
      <c r="P47" s="7" t="s">
        <v>252</v>
      </c>
      <c r="Q47" s="35">
        <v>115</v>
      </c>
      <c r="R47" s="35" t="str">
        <f t="shared" si="4"/>
        <v>115C</v>
      </c>
      <c r="W47" s="7" t="s">
        <v>11</v>
      </c>
      <c r="X47" s="7" t="s">
        <v>253</v>
      </c>
    </row>
    <row r="48" spans="2:24">
      <c r="C48" s="34" t="s">
        <v>31</v>
      </c>
      <c r="D48" s="34" t="s">
        <v>254</v>
      </c>
      <c r="P48" s="7" t="s">
        <v>255</v>
      </c>
      <c r="Q48" s="35">
        <v>120</v>
      </c>
      <c r="R48" s="35" t="str">
        <f t="shared" si="4"/>
        <v>120C</v>
      </c>
      <c r="W48" s="7" t="s">
        <v>11</v>
      </c>
      <c r="X48" s="7" t="s">
        <v>256</v>
      </c>
    </row>
    <row r="49" spans="2:24">
      <c r="C49" s="34" t="s">
        <v>31</v>
      </c>
      <c r="D49" s="34" t="s">
        <v>257</v>
      </c>
      <c r="P49" s="7" t="s">
        <v>258</v>
      </c>
      <c r="Q49" s="35">
        <v>65</v>
      </c>
      <c r="R49" s="35" t="str">
        <f>Q49&amp;"D"</f>
        <v>65D</v>
      </c>
      <c r="W49" s="7" t="s">
        <v>11</v>
      </c>
      <c r="X49" s="7" t="s">
        <v>259</v>
      </c>
    </row>
    <row r="50" spans="2:24">
      <c r="C50" s="34" t="s">
        <v>31</v>
      </c>
      <c r="D50" s="34" t="s">
        <v>260</v>
      </c>
      <c r="P50" s="7" t="s">
        <v>261</v>
      </c>
      <c r="Q50" s="35">
        <v>70</v>
      </c>
      <c r="R50" s="35" t="str">
        <f t="shared" ref="R50:R60" si="5">Q50&amp;"D"</f>
        <v>70D</v>
      </c>
      <c r="W50" s="7" t="s">
        <v>11</v>
      </c>
      <c r="X50" s="7" t="s">
        <v>262</v>
      </c>
    </row>
    <row r="51" spans="2:24">
      <c r="C51" s="34" t="s">
        <v>31</v>
      </c>
      <c r="D51" s="34" t="s">
        <v>81</v>
      </c>
      <c r="P51" s="7" t="s">
        <v>263</v>
      </c>
      <c r="Q51" s="35">
        <v>75</v>
      </c>
      <c r="R51" s="35" t="str">
        <f t="shared" si="5"/>
        <v>75D</v>
      </c>
      <c r="W51" s="7" t="s">
        <v>11</v>
      </c>
      <c r="X51" s="7" t="s">
        <v>264</v>
      </c>
    </row>
    <row r="52" spans="2:24">
      <c r="C52" s="34" t="s">
        <v>31</v>
      </c>
      <c r="D52" s="34" t="s">
        <v>265</v>
      </c>
      <c r="P52" s="7" t="s">
        <v>266</v>
      </c>
      <c r="Q52" s="35">
        <v>80</v>
      </c>
      <c r="R52" s="35" t="str">
        <f t="shared" si="5"/>
        <v>80D</v>
      </c>
      <c r="W52" s="7" t="s">
        <v>11</v>
      </c>
      <c r="X52" s="7" t="s">
        <v>267</v>
      </c>
    </row>
    <row r="53" spans="2:24">
      <c r="C53" s="34" t="s">
        <v>31</v>
      </c>
      <c r="D53" s="34" t="s">
        <v>268</v>
      </c>
      <c r="P53" s="7" t="s">
        <v>269</v>
      </c>
      <c r="Q53" s="35">
        <v>85</v>
      </c>
      <c r="R53" s="35" t="str">
        <f t="shared" si="5"/>
        <v>85D</v>
      </c>
      <c r="W53" s="7" t="s">
        <v>11</v>
      </c>
      <c r="X53" s="7" t="s">
        <v>270</v>
      </c>
    </row>
    <row r="54" spans="2:24">
      <c r="B54" s="36"/>
      <c r="C54" s="34" t="s">
        <v>31</v>
      </c>
      <c r="D54" s="34" t="s">
        <v>271</v>
      </c>
      <c r="P54" s="7" t="s">
        <v>272</v>
      </c>
      <c r="Q54" s="35">
        <v>90</v>
      </c>
      <c r="R54" s="35" t="str">
        <f t="shared" si="5"/>
        <v>90D</v>
      </c>
      <c r="W54" s="7" t="s">
        <v>11</v>
      </c>
      <c r="X54" s="7" t="s">
        <v>273</v>
      </c>
    </row>
    <row r="55" spans="2:24">
      <c r="C55" s="34" t="s">
        <v>31</v>
      </c>
      <c r="D55" s="34" t="s">
        <v>274</v>
      </c>
      <c r="P55" s="7" t="s">
        <v>275</v>
      </c>
      <c r="Q55" s="35">
        <v>95</v>
      </c>
      <c r="R55" s="35" t="str">
        <f t="shared" si="5"/>
        <v>95D</v>
      </c>
      <c r="W55" s="7" t="s">
        <v>11</v>
      </c>
      <c r="X55" s="7" t="s">
        <v>276</v>
      </c>
    </row>
    <row r="56" spans="2:24">
      <c r="C56" s="34" t="s">
        <v>31</v>
      </c>
      <c r="D56" s="34" t="s">
        <v>277</v>
      </c>
      <c r="P56" s="7" t="s">
        <v>278</v>
      </c>
      <c r="Q56" s="35">
        <v>100</v>
      </c>
      <c r="R56" s="35" t="str">
        <f t="shared" si="5"/>
        <v>100D</v>
      </c>
      <c r="W56" s="7" t="s">
        <v>11</v>
      </c>
      <c r="X56" s="7" t="s">
        <v>279</v>
      </c>
    </row>
    <row r="57" spans="2:24">
      <c r="C57" s="34" t="s">
        <v>31</v>
      </c>
      <c r="D57" s="34" t="s">
        <v>280</v>
      </c>
      <c r="P57" s="7" t="s">
        <v>281</v>
      </c>
      <c r="Q57" s="35">
        <v>105</v>
      </c>
      <c r="R57" s="35" t="str">
        <f t="shared" si="5"/>
        <v>105D</v>
      </c>
      <c r="W57" s="7" t="s">
        <v>11</v>
      </c>
      <c r="X57" s="7" t="s">
        <v>282</v>
      </c>
    </row>
    <row r="58" spans="2:24">
      <c r="C58" s="34" t="s">
        <v>31</v>
      </c>
      <c r="D58" s="34" t="s">
        <v>283</v>
      </c>
      <c r="P58" s="7" t="s">
        <v>284</v>
      </c>
      <c r="Q58" s="35">
        <v>110</v>
      </c>
      <c r="R58" s="35" t="str">
        <f t="shared" si="5"/>
        <v>110D</v>
      </c>
      <c r="W58" s="7" t="s">
        <v>11</v>
      </c>
      <c r="X58" s="7" t="s">
        <v>285</v>
      </c>
    </row>
    <row r="59" spans="2:24">
      <c r="C59" s="34" t="s">
        <v>31</v>
      </c>
      <c r="D59" s="34" t="s">
        <v>286</v>
      </c>
      <c r="P59" s="7" t="s">
        <v>287</v>
      </c>
      <c r="Q59" s="35">
        <v>115</v>
      </c>
      <c r="R59" s="35" t="str">
        <f t="shared" si="5"/>
        <v>115D</v>
      </c>
      <c r="W59" s="7" t="s">
        <v>11</v>
      </c>
      <c r="X59" s="7" t="s">
        <v>288</v>
      </c>
    </row>
    <row r="60" spans="2:24">
      <c r="C60" s="34" t="s">
        <v>31</v>
      </c>
      <c r="D60" s="34" t="s">
        <v>289</v>
      </c>
      <c r="P60" s="7" t="s">
        <v>290</v>
      </c>
      <c r="Q60" s="35">
        <v>120</v>
      </c>
      <c r="R60" s="35" t="str">
        <f t="shared" si="5"/>
        <v>120D</v>
      </c>
      <c r="W60" s="7" t="s">
        <v>11</v>
      </c>
      <c r="X60" s="7" t="s">
        <v>291</v>
      </c>
    </row>
    <row r="61" spans="2:24">
      <c r="C61" s="34" t="s">
        <v>31</v>
      </c>
      <c r="D61" s="34" t="s">
        <v>292</v>
      </c>
      <c r="P61" s="7" t="s">
        <v>293</v>
      </c>
      <c r="Q61" s="35">
        <v>65</v>
      </c>
      <c r="R61" s="35" t="str">
        <f>Q61&amp;"DD"</f>
        <v>65DD</v>
      </c>
      <c r="W61" s="7" t="s">
        <v>11</v>
      </c>
      <c r="X61" s="7" t="s">
        <v>294</v>
      </c>
    </row>
    <row r="62" spans="2:24">
      <c r="C62" s="34" t="s">
        <v>31</v>
      </c>
      <c r="D62" s="34" t="s">
        <v>295</v>
      </c>
      <c r="P62" s="7" t="s">
        <v>296</v>
      </c>
      <c r="Q62" s="35">
        <v>70</v>
      </c>
      <c r="R62" s="35" t="str">
        <f t="shared" ref="R62:R72" si="6">Q62&amp;"DD"</f>
        <v>70DD</v>
      </c>
      <c r="W62" s="7" t="s">
        <v>11</v>
      </c>
      <c r="X62" s="7" t="s">
        <v>297</v>
      </c>
    </row>
    <row r="63" spans="2:24">
      <c r="C63" s="34" t="s">
        <v>31</v>
      </c>
      <c r="D63" s="34" t="s">
        <v>298</v>
      </c>
      <c r="P63" s="7" t="s">
        <v>299</v>
      </c>
      <c r="Q63" s="35">
        <v>75</v>
      </c>
      <c r="R63" s="35" t="str">
        <f t="shared" si="6"/>
        <v>75DD</v>
      </c>
      <c r="W63" s="7" t="s">
        <v>11</v>
      </c>
      <c r="X63" s="7" t="s">
        <v>300</v>
      </c>
    </row>
    <row r="64" spans="2:24">
      <c r="C64" s="34" t="s">
        <v>31</v>
      </c>
      <c r="D64" s="34" t="s">
        <v>301</v>
      </c>
      <c r="P64" s="7" t="s">
        <v>302</v>
      </c>
      <c r="Q64" s="35">
        <v>80</v>
      </c>
      <c r="R64" s="35" t="str">
        <f t="shared" si="6"/>
        <v>80DD</v>
      </c>
      <c r="W64" s="7" t="s">
        <v>11</v>
      </c>
      <c r="X64" s="7" t="s">
        <v>303</v>
      </c>
    </row>
    <row r="65" spans="3:24">
      <c r="C65" s="34" t="s">
        <v>31</v>
      </c>
      <c r="D65" s="34" t="s">
        <v>304</v>
      </c>
      <c r="P65" s="7" t="s">
        <v>305</v>
      </c>
      <c r="Q65" s="35">
        <v>85</v>
      </c>
      <c r="R65" s="35" t="str">
        <f t="shared" si="6"/>
        <v>85DD</v>
      </c>
      <c r="W65" s="7" t="s">
        <v>11</v>
      </c>
      <c r="X65" s="7" t="s">
        <v>306</v>
      </c>
    </row>
    <row r="66" spans="3:24">
      <c r="C66" s="34" t="s">
        <v>31</v>
      </c>
      <c r="D66" s="34" t="s">
        <v>307</v>
      </c>
      <c r="P66" s="7" t="s">
        <v>308</v>
      </c>
      <c r="Q66" s="35">
        <v>90</v>
      </c>
      <c r="R66" s="35" t="str">
        <f t="shared" si="6"/>
        <v>90DD</v>
      </c>
      <c r="W66" s="7" t="s">
        <v>11</v>
      </c>
      <c r="X66" s="7" t="s">
        <v>309</v>
      </c>
    </row>
    <row r="67" spans="3:24">
      <c r="C67" s="34" t="s">
        <v>31</v>
      </c>
      <c r="D67" s="34" t="s">
        <v>310</v>
      </c>
      <c r="P67" s="7" t="s">
        <v>311</v>
      </c>
      <c r="Q67" s="35">
        <v>95</v>
      </c>
      <c r="R67" s="35" t="str">
        <f t="shared" si="6"/>
        <v>95DD</v>
      </c>
      <c r="W67" s="7" t="s">
        <v>11</v>
      </c>
      <c r="X67" s="7" t="s">
        <v>312</v>
      </c>
    </row>
    <row r="68" spans="3:24">
      <c r="C68" s="34" t="s">
        <v>31</v>
      </c>
      <c r="D68" s="34" t="s">
        <v>313</v>
      </c>
      <c r="P68" s="7" t="s">
        <v>314</v>
      </c>
      <c r="Q68" s="35">
        <v>100</v>
      </c>
      <c r="R68" s="35" t="str">
        <f t="shared" si="6"/>
        <v>100DD</v>
      </c>
      <c r="W68" s="7" t="s">
        <v>11</v>
      </c>
      <c r="X68" s="7" t="s">
        <v>315</v>
      </c>
    </row>
    <row r="69" spans="3:24">
      <c r="C69" s="34" t="s">
        <v>31</v>
      </c>
      <c r="D69" s="34" t="s">
        <v>316</v>
      </c>
      <c r="P69" s="7" t="s">
        <v>317</v>
      </c>
      <c r="Q69" s="35">
        <v>105</v>
      </c>
      <c r="R69" s="35" t="str">
        <f t="shared" si="6"/>
        <v>105DD</v>
      </c>
      <c r="W69" s="7" t="s">
        <v>11</v>
      </c>
      <c r="X69" s="7" t="s">
        <v>318</v>
      </c>
    </row>
    <row r="70" spans="3:24">
      <c r="C70" s="34" t="s">
        <v>31</v>
      </c>
      <c r="D70" s="34" t="s">
        <v>319</v>
      </c>
      <c r="P70" s="7" t="s">
        <v>320</v>
      </c>
      <c r="Q70" s="35">
        <v>110</v>
      </c>
      <c r="R70" s="35" t="str">
        <f t="shared" si="6"/>
        <v>110DD</v>
      </c>
      <c r="W70" s="7" t="s">
        <v>11</v>
      </c>
      <c r="X70" s="7" t="s">
        <v>321</v>
      </c>
    </row>
    <row r="71" spans="3:24">
      <c r="C71" s="34" t="s">
        <v>31</v>
      </c>
      <c r="D71" s="34" t="s">
        <v>322</v>
      </c>
      <c r="P71" s="7" t="s">
        <v>323</v>
      </c>
      <c r="Q71" s="35">
        <v>115</v>
      </c>
      <c r="R71" s="35" t="str">
        <f t="shared" si="6"/>
        <v>115DD</v>
      </c>
      <c r="W71" s="7" t="s">
        <v>11</v>
      </c>
      <c r="X71" s="7" t="s">
        <v>324</v>
      </c>
    </row>
    <row r="72" spans="3:24">
      <c r="C72" s="34" t="s">
        <v>31</v>
      </c>
      <c r="D72" s="34" t="s">
        <v>325</v>
      </c>
      <c r="P72" s="7" t="s">
        <v>326</v>
      </c>
      <c r="Q72" s="35">
        <v>120</v>
      </c>
      <c r="R72" s="35" t="str">
        <f t="shared" si="6"/>
        <v>120DD</v>
      </c>
      <c r="W72" s="7" t="s">
        <v>11</v>
      </c>
      <c r="X72" s="7" t="s">
        <v>327</v>
      </c>
    </row>
    <row r="73" spans="3:24">
      <c r="C73" s="34" t="s">
        <v>31</v>
      </c>
      <c r="D73" s="34" t="s">
        <v>328</v>
      </c>
      <c r="P73" s="7" t="s">
        <v>329</v>
      </c>
      <c r="Q73" s="35">
        <v>65</v>
      </c>
      <c r="R73" s="35" t="str">
        <f>Q73&amp;"E"</f>
        <v>65E</v>
      </c>
      <c r="W73" s="7" t="s">
        <v>11</v>
      </c>
      <c r="X73" s="7" t="s">
        <v>330</v>
      </c>
    </row>
    <row r="74" spans="3:24">
      <c r="C74" s="34" t="s">
        <v>31</v>
      </c>
      <c r="D74" s="34" t="s">
        <v>331</v>
      </c>
      <c r="P74" s="7" t="s">
        <v>332</v>
      </c>
      <c r="Q74" s="35">
        <v>70</v>
      </c>
      <c r="R74" s="35" t="str">
        <f t="shared" ref="R74:R84" si="7">Q74&amp;"E"</f>
        <v>70E</v>
      </c>
      <c r="W74" s="7" t="s">
        <v>11</v>
      </c>
      <c r="X74" s="7" t="s">
        <v>333</v>
      </c>
    </row>
    <row r="75" spans="3:24">
      <c r="C75" s="34" t="s">
        <v>31</v>
      </c>
      <c r="D75" s="34" t="s">
        <v>334</v>
      </c>
      <c r="P75" s="7" t="s">
        <v>335</v>
      </c>
      <c r="Q75" s="35">
        <v>75</v>
      </c>
      <c r="R75" s="35" t="str">
        <f t="shared" si="7"/>
        <v>75E</v>
      </c>
      <c r="W75" s="7" t="s">
        <v>11</v>
      </c>
      <c r="X75" s="7" t="s">
        <v>336</v>
      </c>
    </row>
    <row r="76" spans="3:24">
      <c r="C76" s="34" t="s">
        <v>31</v>
      </c>
      <c r="D76" s="34" t="s">
        <v>337</v>
      </c>
      <c r="P76" s="7" t="s">
        <v>338</v>
      </c>
      <c r="Q76" s="35">
        <v>80</v>
      </c>
      <c r="R76" s="35" t="str">
        <f t="shared" si="7"/>
        <v>80E</v>
      </c>
      <c r="W76" s="7" t="s">
        <v>11</v>
      </c>
      <c r="X76" s="7" t="s">
        <v>339</v>
      </c>
    </row>
    <row r="77" spans="3:24">
      <c r="C77" s="34" t="s">
        <v>31</v>
      </c>
      <c r="D77" s="34" t="s">
        <v>340</v>
      </c>
      <c r="P77" s="7" t="s">
        <v>341</v>
      </c>
      <c r="Q77" s="35">
        <v>85</v>
      </c>
      <c r="R77" s="35" t="str">
        <f t="shared" si="7"/>
        <v>85E</v>
      </c>
      <c r="W77" s="7" t="s">
        <v>11</v>
      </c>
      <c r="X77" s="7" t="s">
        <v>342</v>
      </c>
    </row>
    <row r="78" spans="3:24">
      <c r="C78" s="34" t="s">
        <v>31</v>
      </c>
      <c r="D78" s="34" t="s">
        <v>343</v>
      </c>
      <c r="P78" s="7" t="s">
        <v>344</v>
      </c>
      <c r="Q78" s="35">
        <v>90</v>
      </c>
      <c r="R78" s="35" t="str">
        <f t="shared" si="7"/>
        <v>90E</v>
      </c>
      <c r="W78" s="7" t="s">
        <v>11</v>
      </c>
      <c r="X78" s="7" t="s">
        <v>345</v>
      </c>
    </row>
    <row r="79" spans="3:24">
      <c r="C79" s="34" t="s">
        <v>31</v>
      </c>
      <c r="D79" s="34" t="s">
        <v>346</v>
      </c>
      <c r="P79" s="7" t="s">
        <v>347</v>
      </c>
      <c r="Q79" s="35">
        <v>95</v>
      </c>
      <c r="R79" s="35" t="str">
        <f t="shared" si="7"/>
        <v>95E</v>
      </c>
      <c r="W79" s="7" t="s">
        <v>11</v>
      </c>
      <c r="X79" s="7" t="s">
        <v>348</v>
      </c>
    </row>
    <row r="80" spans="3:24">
      <c r="C80" s="34" t="s">
        <v>31</v>
      </c>
      <c r="D80" s="34" t="s">
        <v>349</v>
      </c>
      <c r="P80" s="7" t="s">
        <v>350</v>
      </c>
      <c r="Q80" s="35">
        <v>100</v>
      </c>
      <c r="R80" s="35" t="str">
        <f t="shared" si="7"/>
        <v>100E</v>
      </c>
      <c r="W80" s="7" t="s">
        <v>11</v>
      </c>
      <c r="X80" s="7" t="s">
        <v>351</v>
      </c>
    </row>
    <row r="81" spans="3:24">
      <c r="C81" s="34" t="s">
        <v>31</v>
      </c>
      <c r="D81" s="34" t="s">
        <v>352</v>
      </c>
      <c r="P81" s="7" t="s">
        <v>353</v>
      </c>
      <c r="Q81" s="35">
        <v>105</v>
      </c>
      <c r="R81" s="35" t="str">
        <f t="shared" si="7"/>
        <v>105E</v>
      </c>
      <c r="W81" s="7" t="s">
        <v>11</v>
      </c>
      <c r="X81" s="7" t="s">
        <v>354</v>
      </c>
    </row>
    <row r="82" spans="3:24">
      <c r="C82" s="34" t="s">
        <v>31</v>
      </c>
      <c r="D82" s="34" t="s">
        <v>355</v>
      </c>
      <c r="P82" s="7" t="s">
        <v>356</v>
      </c>
      <c r="Q82" s="35">
        <v>110</v>
      </c>
      <c r="R82" s="35" t="str">
        <f t="shared" si="7"/>
        <v>110E</v>
      </c>
      <c r="W82" s="7" t="s">
        <v>11</v>
      </c>
      <c r="X82" s="7" t="s">
        <v>357</v>
      </c>
    </row>
    <row r="83" spans="3:24">
      <c r="C83" s="34" t="s">
        <v>31</v>
      </c>
      <c r="D83" s="34" t="s">
        <v>358</v>
      </c>
      <c r="P83" s="7" t="s">
        <v>359</v>
      </c>
      <c r="Q83" s="35">
        <v>115</v>
      </c>
      <c r="R83" s="35" t="str">
        <f t="shared" si="7"/>
        <v>115E</v>
      </c>
      <c r="W83" s="7" t="s">
        <v>11</v>
      </c>
      <c r="X83" s="7" t="s">
        <v>360</v>
      </c>
    </row>
    <row r="84" spans="3:24">
      <c r="C84" s="34" t="s">
        <v>31</v>
      </c>
      <c r="D84" s="34" t="s">
        <v>361</v>
      </c>
      <c r="P84" s="7" t="s">
        <v>362</v>
      </c>
      <c r="Q84" s="35">
        <v>120</v>
      </c>
      <c r="R84" s="35" t="str">
        <f t="shared" si="7"/>
        <v>120E</v>
      </c>
      <c r="W84" s="7" t="s">
        <v>11</v>
      </c>
      <c r="X84" s="7" t="s">
        <v>363</v>
      </c>
    </row>
    <row r="85" spans="3:24">
      <c r="C85" s="34" t="s">
        <v>31</v>
      </c>
      <c r="D85" s="34" t="s">
        <v>364</v>
      </c>
      <c r="P85" s="7" t="s">
        <v>365</v>
      </c>
      <c r="Q85" s="35">
        <v>65</v>
      </c>
      <c r="R85" s="35" t="str">
        <f>Q85&amp;"F"</f>
        <v>65F</v>
      </c>
      <c r="W85" s="7" t="s">
        <v>11</v>
      </c>
      <c r="X85" s="7" t="s">
        <v>366</v>
      </c>
    </row>
    <row r="86" spans="3:24">
      <c r="C86" s="34" t="s">
        <v>31</v>
      </c>
      <c r="D86" s="34" t="s">
        <v>367</v>
      </c>
      <c r="P86" s="7" t="s">
        <v>368</v>
      </c>
      <c r="Q86" s="35">
        <v>70</v>
      </c>
      <c r="R86" s="35" t="str">
        <f t="shared" ref="R86:R108" si="8">Q86&amp;"F"</f>
        <v>70F</v>
      </c>
      <c r="W86" s="7" t="s">
        <v>11</v>
      </c>
      <c r="X86" s="7" t="s">
        <v>369</v>
      </c>
    </row>
    <row r="87" spans="3:24">
      <c r="C87" s="34" t="s">
        <v>31</v>
      </c>
      <c r="D87" s="34" t="s">
        <v>88</v>
      </c>
      <c r="P87" s="7" t="s">
        <v>370</v>
      </c>
      <c r="Q87" s="35">
        <v>75</v>
      </c>
      <c r="R87" s="35" t="str">
        <f t="shared" si="8"/>
        <v>75F</v>
      </c>
      <c r="W87" s="7" t="s">
        <v>11</v>
      </c>
      <c r="X87" s="7" t="s">
        <v>371</v>
      </c>
    </row>
    <row r="88" spans="3:24">
      <c r="C88" s="34" t="s">
        <v>31</v>
      </c>
      <c r="D88" s="34" t="s">
        <v>372</v>
      </c>
      <c r="P88" s="7" t="s">
        <v>373</v>
      </c>
      <c r="Q88" s="35">
        <v>80</v>
      </c>
      <c r="R88" s="35" t="str">
        <f t="shared" si="8"/>
        <v>80F</v>
      </c>
      <c r="W88" s="7" t="s">
        <v>11</v>
      </c>
      <c r="X88" s="7" t="s">
        <v>374</v>
      </c>
    </row>
    <row r="89" spans="3:24">
      <c r="C89" s="34" t="s">
        <v>31</v>
      </c>
      <c r="D89" s="34" t="s">
        <v>375</v>
      </c>
      <c r="P89" s="7" t="s">
        <v>376</v>
      </c>
      <c r="Q89" s="35">
        <v>85</v>
      </c>
      <c r="R89" s="35" t="str">
        <f t="shared" si="8"/>
        <v>85F</v>
      </c>
      <c r="W89" s="7" t="s">
        <v>11</v>
      </c>
      <c r="X89" s="7" t="s">
        <v>377</v>
      </c>
    </row>
    <row r="90" spans="3:24">
      <c r="C90" s="34" t="s">
        <v>31</v>
      </c>
      <c r="D90" s="34" t="s">
        <v>378</v>
      </c>
      <c r="P90" s="7" t="s">
        <v>379</v>
      </c>
      <c r="Q90" s="35">
        <v>90</v>
      </c>
      <c r="R90" s="35" t="str">
        <f t="shared" si="8"/>
        <v>90F</v>
      </c>
      <c r="W90" s="7" t="s">
        <v>11</v>
      </c>
      <c r="X90" s="7" t="s">
        <v>380</v>
      </c>
    </row>
    <row r="91" spans="3:24">
      <c r="C91" s="34" t="s">
        <v>31</v>
      </c>
      <c r="D91" s="34" t="s">
        <v>381</v>
      </c>
      <c r="P91" s="7" t="s">
        <v>382</v>
      </c>
      <c r="Q91" s="35">
        <v>95</v>
      </c>
      <c r="R91" s="35" t="str">
        <f t="shared" si="8"/>
        <v>95F</v>
      </c>
      <c r="W91" s="7" t="s">
        <v>11</v>
      </c>
      <c r="X91" s="7" t="s">
        <v>383</v>
      </c>
    </row>
    <row r="92" spans="3:24">
      <c r="C92" s="34" t="s">
        <v>31</v>
      </c>
      <c r="D92" s="34" t="s">
        <v>384</v>
      </c>
      <c r="P92" s="7" t="s">
        <v>385</v>
      </c>
      <c r="Q92" s="35">
        <v>100</v>
      </c>
      <c r="R92" s="35" t="str">
        <f t="shared" si="8"/>
        <v>100F</v>
      </c>
      <c r="W92" s="7" t="s">
        <v>11</v>
      </c>
      <c r="X92" s="7" t="s">
        <v>386</v>
      </c>
    </row>
    <row r="93" spans="3:24">
      <c r="C93" s="34" t="s">
        <v>31</v>
      </c>
      <c r="D93" s="34" t="s">
        <v>387</v>
      </c>
      <c r="P93" s="7" t="s">
        <v>388</v>
      </c>
      <c r="Q93" s="35">
        <v>105</v>
      </c>
      <c r="R93" s="35" t="str">
        <f t="shared" si="8"/>
        <v>105F</v>
      </c>
      <c r="W93" s="7" t="s">
        <v>11</v>
      </c>
      <c r="X93" s="7" t="s">
        <v>389</v>
      </c>
    </row>
    <row r="94" spans="3:24">
      <c r="C94" s="34" t="s">
        <v>31</v>
      </c>
      <c r="D94" s="34" t="s">
        <v>390</v>
      </c>
      <c r="P94" s="7" t="s">
        <v>391</v>
      </c>
      <c r="Q94" s="35">
        <v>110</v>
      </c>
      <c r="R94" s="35" t="str">
        <f t="shared" si="8"/>
        <v>110F</v>
      </c>
      <c r="W94" s="7" t="s">
        <v>11</v>
      </c>
      <c r="X94" s="7" t="s">
        <v>392</v>
      </c>
    </row>
    <row r="95" spans="3:24">
      <c r="C95" s="34" t="s">
        <v>31</v>
      </c>
      <c r="D95" s="34" t="s">
        <v>393</v>
      </c>
      <c r="P95" s="7" t="s">
        <v>394</v>
      </c>
      <c r="Q95" s="35">
        <v>115</v>
      </c>
      <c r="R95" s="35" t="str">
        <f t="shared" si="8"/>
        <v>115F</v>
      </c>
      <c r="W95" s="7" t="s">
        <v>11</v>
      </c>
      <c r="X95" s="7" t="s">
        <v>395</v>
      </c>
    </row>
    <row r="96" spans="3:24">
      <c r="C96" s="34" t="s">
        <v>31</v>
      </c>
      <c r="D96" s="34" t="s">
        <v>396</v>
      </c>
      <c r="P96" s="7" t="s">
        <v>397</v>
      </c>
      <c r="Q96" s="35">
        <v>120</v>
      </c>
      <c r="R96" s="35" t="str">
        <f t="shared" si="8"/>
        <v>120F</v>
      </c>
      <c r="W96" s="7" t="s">
        <v>11</v>
      </c>
      <c r="X96" s="7" t="s">
        <v>398</v>
      </c>
    </row>
    <row r="97" spans="3:24">
      <c r="C97" s="34" t="s">
        <v>31</v>
      </c>
      <c r="D97" s="34" t="s">
        <v>399</v>
      </c>
      <c r="P97" s="7" t="s">
        <v>365</v>
      </c>
      <c r="Q97" s="35">
        <v>65</v>
      </c>
      <c r="R97" s="35" t="str">
        <f>Q97&amp;"F"</f>
        <v>65F</v>
      </c>
      <c r="W97" s="7" t="s">
        <v>11</v>
      </c>
      <c r="X97" s="7" t="s">
        <v>400</v>
      </c>
    </row>
    <row r="98" spans="3:24">
      <c r="C98" s="34" t="s">
        <v>31</v>
      </c>
      <c r="D98" s="34" t="s">
        <v>401</v>
      </c>
      <c r="P98" s="7" t="s">
        <v>368</v>
      </c>
      <c r="Q98" s="35">
        <v>70</v>
      </c>
      <c r="R98" s="35" t="str">
        <f t="shared" si="8"/>
        <v>70F</v>
      </c>
      <c r="W98" s="7" t="s">
        <v>11</v>
      </c>
      <c r="X98" s="7" t="s">
        <v>402</v>
      </c>
    </row>
    <row r="99" spans="3:24">
      <c r="C99" s="34" t="s">
        <v>31</v>
      </c>
      <c r="D99" s="34" t="s">
        <v>403</v>
      </c>
      <c r="P99" s="7" t="s">
        <v>370</v>
      </c>
      <c r="Q99" s="35">
        <v>75</v>
      </c>
      <c r="R99" s="35" t="str">
        <f t="shared" si="8"/>
        <v>75F</v>
      </c>
      <c r="W99" s="7" t="s">
        <v>11</v>
      </c>
      <c r="X99" s="7" t="s">
        <v>404</v>
      </c>
    </row>
    <row r="100" spans="3:24">
      <c r="C100" s="34" t="s">
        <v>31</v>
      </c>
      <c r="D100" s="34" t="s">
        <v>63</v>
      </c>
      <c r="P100" s="7" t="s">
        <v>373</v>
      </c>
      <c r="Q100" s="35">
        <v>80</v>
      </c>
      <c r="R100" s="35" t="str">
        <f t="shared" si="8"/>
        <v>80F</v>
      </c>
      <c r="W100" s="7" t="s">
        <v>11</v>
      </c>
      <c r="X100" s="7" t="s">
        <v>405</v>
      </c>
    </row>
    <row r="101" spans="3:24">
      <c r="C101" s="34" t="s">
        <v>31</v>
      </c>
      <c r="D101" s="34" t="s">
        <v>406</v>
      </c>
      <c r="P101" s="7" t="s">
        <v>376</v>
      </c>
      <c r="Q101" s="35">
        <v>85</v>
      </c>
      <c r="R101" s="35" t="str">
        <f t="shared" si="8"/>
        <v>85F</v>
      </c>
      <c r="W101" s="7" t="s">
        <v>11</v>
      </c>
      <c r="X101" s="7" t="s">
        <v>407</v>
      </c>
    </row>
    <row r="102" spans="3:24">
      <c r="C102" s="34" t="s">
        <v>31</v>
      </c>
      <c r="D102" s="34" t="s">
        <v>408</v>
      </c>
      <c r="P102" s="7" t="s">
        <v>379</v>
      </c>
      <c r="Q102" s="35">
        <v>90</v>
      </c>
      <c r="R102" s="35" t="str">
        <f t="shared" si="8"/>
        <v>90F</v>
      </c>
      <c r="W102" s="7" t="s">
        <v>11</v>
      </c>
      <c r="X102" s="7" t="s">
        <v>409</v>
      </c>
    </row>
    <row r="103" spans="3:24">
      <c r="C103" s="34" t="s">
        <v>31</v>
      </c>
      <c r="D103" s="34" t="s">
        <v>410</v>
      </c>
      <c r="P103" s="7" t="s">
        <v>382</v>
      </c>
      <c r="Q103" s="35">
        <v>95</v>
      </c>
      <c r="R103" s="35" t="str">
        <f t="shared" si="8"/>
        <v>95F</v>
      </c>
      <c r="W103" s="7" t="s">
        <v>11</v>
      </c>
      <c r="X103" s="7" t="s">
        <v>411</v>
      </c>
    </row>
    <row r="104" spans="3:24">
      <c r="C104" s="34" t="s">
        <v>31</v>
      </c>
      <c r="D104" s="34" t="s">
        <v>412</v>
      </c>
      <c r="P104" s="7" t="s">
        <v>385</v>
      </c>
      <c r="Q104" s="35">
        <v>100</v>
      </c>
      <c r="R104" s="35" t="str">
        <f t="shared" si="8"/>
        <v>100F</v>
      </c>
      <c r="W104" s="7" t="s">
        <v>11</v>
      </c>
      <c r="X104" s="7" t="s">
        <v>413</v>
      </c>
    </row>
    <row r="105" spans="3:24">
      <c r="C105" s="34" t="s">
        <v>31</v>
      </c>
      <c r="D105" s="34" t="s">
        <v>414</v>
      </c>
      <c r="P105" s="7" t="s">
        <v>388</v>
      </c>
      <c r="Q105" s="35">
        <v>105</v>
      </c>
      <c r="R105" s="35" t="str">
        <f t="shared" si="8"/>
        <v>105F</v>
      </c>
      <c r="W105" s="7" t="s">
        <v>11</v>
      </c>
      <c r="X105" s="7" t="s">
        <v>415</v>
      </c>
    </row>
    <row r="106" spans="3:24">
      <c r="C106" s="34" t="s">
        <v>31</v>
      </c>
      <c r="D106" s="34" t="s">
        <v>416</v>
      </c>
      <c r="P106" s="7" t="s">
        <v>391</v>
      </c>
      <c r="Q106" s="35">
        <v>110</v>
      </c>
      <c r="R106" s="35" t="str">
        <f t="shared" si="8"/>
        <v>110F</v>
      </c>
      <c r="W106" s="7" t="s">
        <v>11</v>
      </c>
      <c r="X106" s="7" t="s">
        <v>417</v>
      </c>
    </row>
    <row r="107" spans="3:24">
      <c r="C107" s="34" t="s">
        <v>31</v>
      </c>
      <c r="D107" s="34" t="s">
        <v>418</v>
      </c>
      <c r="P107" s="7" t="s">
        <v>394</v>
      </c>
      <c r="Q107" s="35">
        <v>115</v>
      </c>
      <c r="R107" s="35" t="str">
        <f t="shared" si="8"/>
        <v>115F</v>
      </c>
      <c r="W107" s="7" t="s">
        <v>11</v>
      </c>
      <c r="X107" s="7" t="s">
        <v>419</v>
      </c>
    </row>
    <row r="108" spans="3:24">
      <c r="C108" s="34" t="s">
        <v>31</v>
      </c>
      <c r="D108" s="34" t="s">
        <v>420</v>
      </c>
      <c r="P108" s="7" t="s">
        <v>397</v>
      </c>
      <c r="Q108" s="35">
        <v>120</v>
      </c>
      <c r="R108" s="35" t="str">
        <f t="shared" si="8"/>
        <v>120F</v>
      </c>
      <c r="W108" s="7" t="s">
        <v>11</v>
      </c>
      <c r="X108" s="7" t="s">
        <v>421</v>
      </c>
    </row>
    <row r="109" spans="3:24">
      <c r="C109" s="34" t="s">
        <v>31</v>
      </c>
      <c r="D109" s="34" t="s">
        <v>422</v>
      </c>
      <c r="P109" s="7" t="s">
        <v>423</v>
      </c>
      <c r="Q109" s="35">
        <v>65</v>
      </c>
      <c r="R109" s="35" t="str">
        <f>Q109&amp;"G"</f>
        <v>65G</v>
      </c>
      <c r="W109" s="7" t="s">
        <v>11</v>
      </c>
      <c r="X109" s="7" t="s">
        <v>424</v>
      </c>
    </row>
    <row r="110" spans="3:24">
      <c r="C110" s="34" t="s">
        <v>31</v>
      </c>
      <c r="D110" s="34" t="s">
        <v>425</v>
      </c>
      <c r="P110" s="7" t="s">
        <v>426</v>
      </c>
      <c r="Q110" s="35">
        <v>70</v>
      </c>
      <c r="R110" s="35" t="str">
        <f t="shared" ref="R110:R120" si="9">Q110&amp;"G"</f>
        <v>70G</v>
      </c>
      <c r="W110" s="7" t="s">
        <v>11</v>
      </c>
      <c r="X110" s="7" t="s">
        <v>427</v>
      </c>
    </row>
    <row r="111" spans="3:24">
      <c r="C111" s="34" t="s">
        <v>31</v>
      </c>
      <c r="D111" s="34" t="s">
        <v>428</v>
      </c>
      <c r="P111" s="7" t="s">
        <v>429</v>
      </c>
      <c r="Q111" s="35">
        <v>75</v>
      </c>
      <c r="R111" s="35" t="str">
        <f t="shared" si="9"/>
        <v>75G</v>
      </c>
      <c r="W111" s="7" t="s">
        <v>11</v>
      </c>
      <c r="X111" s="7" t="s">
        <v>430</v>
      </c>
    </row>
    <row r="112" spans="3:24">
      <c r="C112" s="34" t="s">
        <v>31</v>
      </c>
      <c r="D112" s="34" t="s">
        <v>431</v>
      </c>
      <c r="P112" s="7" t="s">
        <v>432</v>
      </c>
      <c r="Q112" s="35">
        <v>80</v>
      </c>
      <c r="R112" s="35" t="str">
        <f t="shared" si="9"/>
        <v>80G</v>
      </c>
      <c r="W112" s="7" t="s">
        <v>11</v>
      </c>
      <c r="X112" s="7" t="s">
        <v>433</v>
      </c>
    </row>
    <row r="113" spans="3:24">
      <c r="C113" s="34" t="s">
        <v>31</v>
      </c>
      <c r="D113" s="34" t="s">
        <v>434</v>
      </c>
      <c r="P113" s="7" t="s">
        <v>435</v>
      </c>
      <c r="Q113" s="35">
        <v>85</v>
      </c>
      <c r="R113" s="35" t="str">
        <f t="shared" si="9"/>
        <v>85G</v>
      </c>
      <c r="W113" s="7" t="s">
        <v>11</v>
      </c>
      <c r="X113" s="7" t="s">
        <v>436</v>
      </c>
    </row>
    <row r="114" spans="3:24">
      <c r="C114" s="34" t="s">
        <v>31</v>
      </c>
      <c r="D114" s="34" t="s">
        <v>437</v>
      </c>
      <c r="P114" s="7" t="s">
        <v>438</v>
      </c>
      <c r="Q114" s="35">
        <v>90</v>
      </c>
      <c r="R114" s="35" t="str">
        <f t="shared" si="9"/>
        <v>90G</v>
      </c>
      <c r="W114" s="7" t="s">
        <v>11</v>
      </c>
      <c r="X114" s="7" t="s">
        <v>439</v>
      </c>
    </row>
    <row r="115" spans="3:24">
      <c r="C115" s="34" t="s">
        <v>31</v>
      </c>
      <c r="D115" s="34" t="s">
        <v>440</v>
      </c>
      <c r="P115" s="7" t="s">
        <v>441</v>
      </c>
      <c r="Q115" s="35">
        <v>95</v>
      </c>
      <c r="R115" s="35" t="str">
        <f t="shared" si="9"/>
        <v>95G</v>
      </c>
      <c r="W115" s="7" t="s">
        <v>11</v>
      </c>
      <c r="X115" s="7" t="s">
        <v>442</v>
      </c>
    </row>
    <row r="116" spans="3:24">
      <c r="C116" s="34" t="s">
        <v>31</v>
      </c>
      <c r="D116" s="34" t="s">
        <v>443</v>
      </c>
      <c r="P116" s="7" t="s">
        <v>444</v>
      </c>
      <c r="Q116" s="35">
        <v>100</v>
      </c>
      <c r="R116" s="35" t="str">
        <f t="shared" si="9"/>
        <v>100G</v>
      </c>
      <c r="W116" s="7" t="s">
        <v>11</v>
      </c>
      <c r="X116" s="7" t="s">
        <v>445</v>
      </c>
    </row>
    <row r="117" spans="3:24">
      <c r="C117" s="34" t="s">
        <v>31</v>
      </c>
      <c r="D117" s="34" t="s">
        <v>446</v>
      </c>
      <c r="P117" s="7" t="s">
        <v>447</v>
      </c>
      <c r="Q117" s="35">
        <v>105</v>
      </c>
      <c r="R117" s="35" t="str">
        <f t="shared" si="9"/>
        <v>105G</v>
      </c>
      <c r="W117" s="7" t="s">
        <v>11</v>
      </c>
      <c r="X117" s="7" t="s">
        <v>448</v>
      </c>
    </row>
    <row r="118" spans="3:24">
      <c r="C118" s="34" t="s">
        <v>31</v>
      </c>
      <c r="D118" s="34" t="s">
        <v>449</v>
      </c>
      <c r="P118" s="7" t="s">
        <v>450</v>
      </c>
      <c r="Q118" s="35">
        <v>110</v>
      </c>
      <c r="R118" s="35" t="str">
        <f t="shared" si="9"/>
        <v>110G</v>
      </c>
      <c r="W118" s="7" t="s">
        <v>11</v>
      </c>
      <c r="X118" s="7" t="s">
        <v>451</v>
      </c>
    </row>
    <row r="119" spans="3:24">
      <c r="C119" s="34" t="s">
        <v>31</v>
      </c>
      <c r="D119" s="34" t="s">
        <v>452</v>
      </c>
      <c r="P119" s="7" t="s">
        <v>453</v>
      </c>
      <c r="Q119" s="35">
        <v>115</v>
      </c>
      <c r="R119" s="35" t="str">
        <f t="shared" si="9"/>
        <v>115G</v>
      </c>
      <c r="W119" s="7" t="s">
        <v>11</v>
      </c>
      <c r="X119" s="7" t="s">
        <v>454</v>
      </c>
    </row>
    <row r="120" spans="3:24">
      <c r="C120" s="34" t="s">
        <v>31</v>
      </c>
      <c r="D120" s="34" t="s">
        <v>455</v>
      </c>
      <c r="P120" s="7" t="s">
        <v>456</v>
      </c>
      <c r="Q120" s="35">
        <v>120</v>
      </c>
      <c r="R120" s="35" t="str">
        <f t="shared" si="9"/>
        <v>120G</v>
      </c>
      <c r="W120" s="7" t="s">
        <v>11</v>
      </c>
      <c r="X120" s="7" t="s">
        <v>457</v>
      </c>
    </row>
    <row r="121" spans="3:24">
      <c r="C121" s="34" t="s">
        <v>31</v>
      </c>
      <c r="D121" s="34" t="s">
        <v>458</v>
      </c>
      <c r="P121" s="7" t="s">
        <v>459</v>
      </c>
      <c r="Q121" s="35">
        <v>65</v>
      </c>
      <c r="R121" s="35" t="str">
        <f>Q121&amp;"H"</f>
        <v>65H</v>
      </c>
      <c r="W121" s="7" t="s">
        <v>11</v>
      </c>
      <c r="X121" s="7" t="s">
        <v>460</v>
      </c>
    </row>
    <row r="122" spans="3:24">
      <c r="C122" s="34" t="s">
        <v>31</v>
      </c>
      <c r="D122" s="34" t="s">
        <v>461</v>
      </c>
      <c r="P122" s="7" t="s">
        <v>462</v>
      </c>
      <c r="Q122" s="35">
        <v>70</v>
      </c>
      <c r="R122" s="35" t="str">
        <f t="shared" ref="R122:R132" si="10">Q122&amp;"H"</f>
        <v>70H</v>
      </c>
      <c r="W122" s="7" t="s">
        <v>11</v>
      </c>
      <c r="X122" s="7" t="s">
        <v>463</v>
      </c>
    </row>
    <row r="123" spans="3:24">
      <c r="C123" s="34" t="s">
        <v>31</v>
      </c>
      <c r="D123" s="34" t="s">
        <v>464</v>
      </c>
      <c r="P123" s="7" t="s">
        <v>465</v>
      </c>
      <c r="Q123" s="35">
        <v>75</v>
      </c>
      <c r="R123" s="35" t="str">
        <f t="shared" si="10"/>
        <v>75H</v>
      </c>
      <c r="W123" s="7" t="s">
        <v>11</v>
      </c>
      <c r="X123" s="7" t="s">
        <v>466</v>
      </c>
    </row>
    <row r="124" spans="3:24">
      <c r="C124" s="34" t="s">
        <v>31</v>
      </c>
      <c r="D124" s="34" t="s">
        <v>467</v>
      </c>
      <c r="P124" s="7" t="s">
        <v>468</v>
      </c>
      <c r="Q124" s="35">
        <v>80</v>
      </c>
      <c r="R124" s="35" t="str">
        <f t="shared" si="10"/>
        <v>80H</v>
      </c>
      <c r="W124" s="7" t="s">
        <v>11</v>
      </c>
      <c r="X124" s="7" t="s">
        <v>469</v>
      </c>
    </row>
    <row r="125" spans="3:24">
      <c r="C125" s="34" t="s">
        <v>31</v>
      </c>
      <c r="D125" s="34" t="s">
        <v>470</v>
      </c>
      <c r="P125" s="7" t="s">
        <v>471</v>
      </c>
      <c r="Q125" s="35">
        <v>85</v>
      </c>
      <c r="R125" s="35" t="str">
        <f t="shared" si="10"/>
        <v>85H</v>
      </c>
      <c r="W125" s="7" t="s">
        <v>11</v>
      </c>
      <c r="X125" s="7" t="s">
        <v>472</v>
      </c>
    </row>
    <row r="126" spans="3:24">
      <c r="C126" s="34" t="s">
        <v>31</v>
      </c>
      <c r="D126" s="34" t="s">
        <v>473</v>
      </c>
      <c r="P126" s="7" t="s">
        <v>474</v>
      </c>
      <c r="Q126" s="35">
        <v>90</v>
      </c>
      <c r="R126" s="35" t="str">
        <f t="shared" si="10"/>
        <v>90H</v>
      </c>
      <c r="W126" s="7" t="s">
        <v>11</v>
      </c>
      <c r="X126" s="7" t="s">
        <v>475</v>
      </c>
    </row>
    <row r="127" spans="3:24">
      <c r="C127" s="34" t="s">
        <v>31</v>
      </c>
      <c r="D127" s="34" t="s">
        <v>476</v>
      </c>
      <c r="P127" s="7" t="s">
        <v>477</v>
      </c>
      <c r="Q127" s="35">
        <v>95</v>
      </c>
      <c r="R127" s="35" t="str">
        <f t="shared" si="10"/>
        <v>95H</v>
      </c>
      <c r="W127" s="7" t="s">
        <v>11</v>
      </c>
      <c r="X127" s="7" t="s">
        <v>478</v>
      </c>
    </row>
    <row r="128" spans="3:24">
      <c r="C128" s="34" t="s">
        <v>31</v>
      </c>
      <c r="D128" s="34" t="s">
        <v>479</v>
      </c>
      <c r="P128" s="7" t="s">
        <v>480</v>
      </c>
      <c r="Q128" s="35">
        <v>100</v>
      </c>
      <c r="R128" s="35" t="str">
        <f t="shared" si="10"/>
        <v>100H</v>
      </c>
      <c r="W128" s="7" t="s">
        <v>11</v>
      </c>
      <c r="X128" s="7" t="s">
        <v>481</v>
      </c>
    </row>
    <row r="129" spans="3:24">
      <c r="C129" s="34" t="s">
        <v>31</v>
      </c>
      <c r="D129" s="34" t="s">
        <v>482</v>
      </c>
      <c r="P129" s="7" t="s">
        <v>483</v>
      </c>
      <c r="Q129" s="35">
        <v>105</v>
      </c>
      <c r="R129" s="35" t="str">
        <f t="shared" si="10"/>
        <v>105H</v>
      </c>
      <c r="W129" s="7" t="s">
        <v>11</v>
      </c>
      <c r="X129" s="7" t="s">
        <v>484</v>
      </c>
    </row>
    <row r="130" spans="3:24">
      <c r="C130" s="34" t="s">
        <v>31</v>
      </c>
      <c r="D130" s="34" t="s">
        <v>485</v>
      </c>
      <c r="P130" s="7" t="s">
        <v>486</v>
      </c>
      <c r="Q130" s="35">
        <v>110</v>
      </c>
      <c r="R130" s="35" t="str">
        <f t="shared" si="10"/>
        <v>110H</v>
      </c>
      <c r="W130" s="7" t="s">
        <v>11</v>
      </c>
      <c r="X130" s="7" t="s">
        <v>487</v>
      </c>
    </row>
    <row r="131" spans="3:24">
      <c r="C131" s="34" t="s">
        <v>31</v>
      </c>
      <c r="D131" s="34" t="s">
        <v>488</v>
      </c>
      <c r="P131" s="7" t="s">
        <v>489</v>
      </c>
      <c r="Q131" s="35">
        <v>115</v>
      </c>
      <c r="R131" s="35" t="str">
        <f t="shared" si="10"/>
        <v>115H</v>
      </c>
      <c r="W131" s="7" t="s">
        <v>11</v>
      </c>
      <c r="X131" s="7" t="s">
        <v>490</v>
      </c>
    </row>
    <row r="132" spans="3:24">
      <c r="C132" s="34" t="s">
        <v>31</v>
      </c>
      <c r="D132" s="34" t="s">
        <v>491</v>
      </c>
      <c r="P132" s="7" t="s">
        <v>492</v>
      </c>
      <c r="Q132" s="35">
        <v>120</v>
      </c>
      <c r="R132" s="35" t="str">
        <f t="shared" si="10"/>
        <v>120H</v>
      </c>
      <c r="W132" s="7" t="s">
        <v>11</v>
      </c>
      <c r="X132" s="7" t="s">
        <v>493</v>
      </c>
    </row>
    <row r="133" spans="3:24">
      <c r="C133" s="34" t="s">
        <v>31</v>
      </c>
      <c r="D133" s="34" t="s">
        <v>494</v>
      </c>
      <c r="P133" s="7" t="s">
        <v>495</v>
      </c>
      <c r="Q133" s="35">
        <v>65</v>
      </c>
      <c r="R133" s="35" t="str">
        <f>Q133&amp;"I"</f>
        <v>65I</v>
      </c>
      <c r="W133" s="7" t="s">
        <v>11</v>
      </c>
      <c r="X133" s="7" t="s">
        <v>496</v>
      </c>
    </row>
    <row r="134" spans="3:24">
      <c r="C134" s="34" t="s">
        <v>31</v>
      </c>
      <c r="D134" s="34" t="s">
        <v>497</v>
      </c>
      <c r="P134" s="7" t="s">
        <v>498</v>
      </c>
      <c r="Q134" s="35">
        <v>70</v>
      </c>
      <c r="R134" s="35" t="str">
        <f t="shared" ref="R134:R144" si="11">Q134&amp;"I"</f>
        <v>70I</v>
      </c>
      <c r="W134" s="7" t="s">
        <v>11</v>
      </c>
      <c r="X134" s="7" t="s">
        <v>499</v>
      </c>
    </row>
    <row r="135" spans="3:24">
      <c r="C135" s="34" t="s">
        <v>31</v>
      </c>
      <c r="D135" s="34" t="s">
        <v>500</v>
      </c>
      <c r="P135" s="7" t="s">
        <v>501</v>
      </c>
      <c r="Q135" s="35">
        <v>75</v>
      </c>
      <c r="R135" s="35" t="str">
        <f t="shared" si="11"/>
        <v>75I</v>
      </c>
      <c r="W135" s="7" t="s">
        <v>11</v>
      </c>
      <c r="X135" s="7" t="s">
        <v>502</v>
      </c>
    </row>
    <row r="136" spans="3:24">
      <c r="C136" s="34" t="s">
        <v>31</v>
      </c>
      <c r="D136" s="34" t="s">
        <v>503</v>
      </c>
      <c r="P136" s="7" t="s">
        <v>504</v>
      </c>
      <c r="Q136" s="35">
        <v>80</v>
      </c>
      <c r="R136" s="35" t="str">
        <f t="shared" si="11"/>
        <v>80I</v>
      </c>
      <c r="W136" s="7" t="s">
        <v>11</v>
      </c>
      <c r="X136" s="7" t="s">
        <v>505</v>
      </c>
    </row>
    <row r="137" spans="3:24">
      <c r="C137" s="34" t="s">
        <v>31</v>
      </c>
      <c r="D137" s="34" t="s">
        <v>506</v>
      </c>
      <c r="P137" s="7" t="s">
        <v>507</v>
      </c>
      <c r="Q137" s="35">
        <v>85</v>
      </c>
      <c r="R137" s="35" t="str">
        <f t="shared" si="11"/>
        <v>85I</v>
      </c>
      <c r="W137" s="7" t="s">
        <v>11</v>
      </c>
      <c r="X137" s="7" t="s">
        <v>508</v>
      </c>
    </row>
    <row r="138" spans="3:24">
      <c r="C138" s="34" t="s">
        <v>31</v>
      </c>
      <c r="D138" s="34" t="s">
        <v>509</v>
      </c>
      <c r="P138" s="7" t="s">
        <v>510</v>
      </c>
      <c r="Q138" s="35">
        <v>90</v>
      </c>
      <c r="R138" s="35" t="str">
        <f t="shared" si="11"/>
        <v>90I</v>
      </c>
      <c r="W138" s="7" t="s">
        <v>11</v>
      </c>
      <c r="X138" s="7" t="s">
        <v>511</v>
      </c>
    </row>
    <row r="139" spans="3:24">
      <c r="C139" s="34" t="s">
        <v>31</v>
      </c>
      <c r="D139" s="34" t="s">
        <v>512</v>
      </c>
      <c r="P139" s="7" t="s">
        <v>513</v>
      </c>
      <c r="Q139" s="35">
        <v>95</v>
      </c>
      <c r="R139" s="35" t="str">
        <f t="shared" si="11"/>
        <v>95I</v>
      </c>
      <c r="W139" s="7" t="s">
        <v>11</v>
      </c>
      <c r="X139" s="7" t="s">
        <v>514</v>
      </c>
    </row>
    <row r="140" spans="3:24">
      <c r="C140" s="34" t="s">
        <v>31</v>
      </c>
      <c r="D140" s="34" t="s">
        <v>515</v>
      </c>
      <c r="P140" s="7" t="s">
        <v>516</v>
      </c>
      <c r="Q140" s="35">
        <v>100</v>
      </c>
      <c r="R140" s="35" t="str">
        <f t="shared" si="11"/>
        <v>100I</v>
      </c>
      <c r="W140" s="7" t="s">
        <v>11</v>
      </c>
      <c r="X140" s="7" t="s">
        <v>517</v>
      </c>
    </row>
    <row r="141" spans="3:24">
      <c r="C141" s="34" t="s">
        <v>31</v>
      </c>
      <c r="D141" s="34" t="s">
        <v>518</v>
      </c>
      <c r="P141" s="7" t="s">
        <v>519</v>
      </c>
      <c r="Q141" s="35">
        <v>105</v>
      </c>
      <c r="R141" s="35" t="str">
        <f t="shared" si="11"/>
        <v>105I</v>
      </c>
      <c r="W141" s="7" t="s">
        <v>11</v>
      </c>
      <c r="X141" s="7" t="s">
        <v>520</v>
      </c>
    </row>
    <row r="142" spans="3:24">
      <c r="C142" s="34" t="s">
        <v>31</v>
      </c>
      <c r="D142" s="34" t="s">
        <v>521</v>
      </c>
      <c r="P142" s="7" t="s">
        <v>522</v>
      </c>
      <c r="Q142" s="35">
        <v>110</v>
      </c>
      <c r="R142" s="35" t="str">
        <f t="shared" si="11"/>
        <v>110I</v>
      </c>
      <c r="W142" s="7" t="s">
        <v>11</v>
      </c>
      <c r="X142" s="7" t="s">
        <v>523</v>
      </c>
    </row>
    <row r="143" spans="3:24">
      <c r="C143" s="34" t="s">
        <v>31</v>
      </c>
      <c r="D143" s="34" t="s">
        <v>524</v>
      </c>
      <c r="P143" s="7" t="s">
        <v>525</v>
      </c>
      <c r="Q143" s="35">
        <v>115</v>
      </c>
      <c r="R143" s="35" t="str">
        <f t="shared" si="11"/>
        <v>115I</v>
      </c>
      <c r="W143" s="7" t="s">
        <v>11</v>
      </c>
      <c r="X143" s="7" t="s">
        <v>526</v>
      </c>
    </row>
    <row r="144" spans="3:24">
      <c r="C144" s="34" t="s">
        <v>31</v>
      </c>
      <c r="D144" s="34" t="s">
        <v>527</v>
      </c>
      <c r="P144" s="7" t="s">
        <v>528</v>
      </c>
      <c r="Q144" s="35">
        <v>120</v>
      </c>
      <c r="R144" s="35" t="str">
        <f t="shared" si="11"/>
        <v>120I</v>
      </c>
      <c r="W144" s="7" t="s">
        <v>11</v>
      </c>
      <c r="X144" s="7" t="s">
        <v>529</v>
      </c>
    </row>
    <row r="145" spans="3:24">
      <c r="C145" s="34" t="s">
        <v>31</v>
      </c>
      <c r="D145" s="34" t="s">
        <v>530</v>
      </c>
      <c r="P145" s="7" t="s">
        <v>531</v>
      </c>
      <c r="Q145" s="35">
        <v>65</v>
      </c>
      <c r="R145" s="35" t="str">
        <f>Q145&amp;"J"</f>
        <v>65J</v>
      </c>
      <c r="W145" s="7" t="s">
        <v>11</v>
      </c>
      <c r="X145" s="7" t="s">
        <v>532</v>
      </c>
    </row>
    <row r="146" spans="3:24">
      <c r="C146" s="34" t="s">
        <v>31</v>
      </c>
      <c r="D146" s="34" t="s">
        <v>533</v>
      </c>
      <c r="P146" s="7" t="s">
        <v>534</v>
      </c>
      <c r="Q146" s="35">
        <v>70</v>
      </c>
      <c r="R146" s="35" t="str">
        <f t="shared" ref="R146:R156" si="12">Q146&amp;"J"</f>
        <v>70J</v>
      </c>
      <c r="W146" s="7" t="s">
        <v>11</v>
      </c>
      <c r="X146" s="7" t="s">
        <v>535</v>
      </c>
    </row>
    <row r="147" spans="3:24">
      <c r="C147" s="34" t="s">
        <v>31</v>
      </c>
      <c r="D147" s="34" t="s">
        <v>536</v>
      </c>
      <c r="P147" s="7" t="s">
        <v>537</v>
      </c>
      <c r="Q147" s="35">
        <v>75</v>
      </c>
      <c r="R147" s="35" t="str">
        <f t="shared" si="12"/>
        <v>75J</v>
      </c>
      <c r="W147" s="7" t="s">
        <v>11</v>
      </c>
      <c r="X147" s="7" t="s">
        <v>538</v>
      </c>
    </row>
    <row r="148" spans="3:24">
      <c r="C148" s="34" t="s">
        <v>31</v>
      </c>
      <c r="D148" s="34" t="s">
        <v>539</v>
      </c>
      <c r="P148" s="7" t="s">
        <v>540</v>
      </c>
      <c r="Q148" s="35">
        <v>80</v>
      </c>
      <c r="R148" s="35" t="str">
        <f t="shared" si="12"/>
        <v>80J</v>
      </c>
      <c r="W148" s="7" t="s">
        <v>11</v>
      </c>
      <c r="X148" s="7" t="s">
        <v>541</v>
      </c>
    </row>
    <row r="149" spans="3:24">
      <c r="C149" s="34" t="s">
        <v>31</v>
      </c>
      <c r="D149" s="34" t="s">
        <v>542</v>
      </c>
      <c r="P149" s="7" t="s">
        <v>543</v>
      </c>
      <c r="Q149" s="35">
        <v>85</v>
      </c>
      <c r="R149" s="35" t="str">
        <f t="shared" si="12"/>
        <v>85J</v>
      </c>
      <c r="W149" s="7" t="s">
        <v>11</v>
      </c>
      <c r="X149" s="7" t="s">
        <v>544</v>
      </c>
    </row>
    <row r="150" spans="3:24">
      <c r="C150" s="34" t="s">
        <v>31</v>
      </c>
      <c r="D150" s="34" t="s">
        <v>545</v>
      </c>
      <c r="P150" s="7" t="s">
        <v>546</v>
      </c>
      <c r="Q150" s="35">
        <v>90</v>
      </c>
      <c r="R150" s="35" t="str">
        <f t="shared" si="12"/>
        <v>90J</v>
      </c>
      <c r="W150" s="7" t="s">
        <v>11</v>
      </c>
      <c r="X150" s="7" t="s">
        <v>547</v>
      </c>
    </row>
    <row r="151" spans="3:24">
      <c r="C151" s="34" t="s">
        <v>31</v>
      </c>
      <c r="D151" s="34" t="s">
        <v>548</v>
      </c>
      <c r="P151" s="7" t="s">
        <v>549</v>
      </c>
      <c r="Q151" s="35">
        <v>95</v>
      </c>
      <c r="R151" s="35" t="str">
        <f t="shared" si="12"/>
        <v>95J</v>
      </c>
      <c r="W151" s="7" t="s">
        <v>11</v>
      </c>
      <c r="X151" s="7" t="s">
        <v>550</v>
      </c>
    </row>
    <row r="152" spans="3:24">
      <c r="C152" s="34" t="s">
        <v>31</v>
      </c>
      <c r="D152" s="34" t="s">
        <v>551</v>
      </c>
      <c r="P152" s="7" t="s">
        <v>552</v>
      </c>
      <c r="Q152" s="35">
        <v>100</v>
      </c>
      <c r="R152" s="35" t="str">
        <f t="shared" si="12"/>
        <v>100J</v>
      </c>
      <c r="W152" s="7" t="s">
        <v>11</v>
      </c>
      <c r="X152" s="7" t="s">
        <v>553</v>
      </c>
    </row>
    <row r="153" spans="3:24">
      <c r="C153" s="34" t="s">
        <v>31</v>
      </c>
      <c r="D153" s="34" t="s">
        <v>554</v>
      </c>
      <c r="P153" s="7" t="s">
        <v>555</v>
      </c>
      <c r="Q153" s="35">
        <v>105</v>
      </c>
      <c r="R153" s="35" t="str">
        <f t="shared" si="12"/>
        <v>105J</v>
      </c>
      <c r="W153" s="7" t="s">
        <v>11</v>
      </c>
      <c r="X153" s="7" t="s">
        <v>556</v>
      </c>
    </row>
    <row r="154" spans="3:24">
      <c r="C154" s="34" t="s">
        <v>31</v>
      </c>
      <c r="D154" s="34" t="s">
        <v>557</v>
      </c>
      <c r="P154" s="7" t="s">
        <v>558</v>
      </c>
      <c r="Q154" s="35">
        <v>110</v>
      </c>
      <c r="R154" s="35" t="str">
        <f t="shared" si="12"/>
        <v>110J</v>
      </c>
      <c r="W154" s="7" t="s">
        <v>11</v>
      </c>
      <c r="X154" s="7" t="s">
        <v>559</v>
      </c>
    </row>
    <row r="155" spans="3:24">
      <c r="C155" s="34" t="s">
        <v>31</v>
      </c>
      <c r="D155" s="34" t="s">
        <v>560</v>
      </c>
      <c r="P155" s="7" t="s">
        <v>561</v>
      </c>
      <c r="Q155" s="35">
        <v>115</v>
      </c>
      <c r="R155" s="35" t="str">
        <f t="shared" si="12"/>
        <v>115J</v>
      </c>
      <c r="W155" s="7" t="s">
        <v>11</v>
      </c>
      <c r="X155" s="7" t="s">
        <v>562</v>
      </c>
    </row>
    <row r="156" spans="3:24">
      <c r="C156" s="34" t="s">
        <v>31</v>
      </c>
      <c r="D156" s="34" t="s">
        <v>563</v>
      </c>
      <c r="P156" s="7" t="s">
        <v>564</v>
      </c>
      <c r="Q156" s="35">
        <v>120</v>
      </c>
      <c r="R156" s="35" t="str">
        <f t="shared" si="12"/>
        <v>120J</v>
      </c>
      <c r="W156" s="7" t="s">
        <v>11</v>
      </c>
      <c r="X156" s="7" t="s">
        <v>565</v>
      </c>
    </row>
    <row r="157" spans="3:24">
      <c r="C157" s="34" t="s">
        <v>31</v>
      </c>
      <c r="D157" s="34" t="s">
        <v>566</v>
      </c>
      <c r="R157" s="7"/>
      <c r="W157" s="7" t="s">
        <v>11</v>
      </c>
      <c r="X157" s="7" t="s">
        <v>567</v>
      </c>
    </row>
    <row r="158" spans="3:24">
      <c r="C158" s="34" t="s">
        <v>31</v>
      </c>
      <c r="D158" s="34" t="s">
        <v>568</v>
      </c>
      <c r="R158" s="7"/>
      <c r="W158" s="7" t="s">
        <v>11</v>
      </c>
      <c r="X158" s="7" t="s">
        <v>569</v>
      </c>
    </row>
    <row r="159" spans="3:24">
      <c r="C159" s="34" t="s">
        <v>31</v>
      </c>
      <c r="D159" s="34" t="s">
        <v>570</v>
      </c>
      <c r="R159" s="7"/>
      <c r="W159" s="7" t="s">
        <v>11</v>
      </c>
      <c r="X159" s="7" t="s">
        <v>571</v>
      </c>
    </row>
    <row r="160" spans="3:24">
      <c r="C160" s="34" t="s">
        <v>31</v>
      </c>
      <c r="D160" s="34" t="s">
        <v>572</v>
      </c>
      <c r="R160" s="7"/>
      <c r="W160" s="7" t="s">
        <v>11</v>
      </c>
      <c r="X160" s="7" t="s">
        <v>573</v>
      </c>
    </row>
    <row r="161" spans="3:24">
      <c r="C161" s="34" t="s">
        <v>31</v>
      </c>
      <c r="D161" s="34" t="s">
        <v>574</v>
      </c>
      <c r="R161" s="7"/>
      <c r="W161" s="7" t="s">
        <v>11</v>
      </c>
      <c r="X161" s="7" t="s">
        <v>575</v>
      </c>
    </row>
    <row r="162" spans="3:24">
      <c r="C162" s="34" t="s">
        <v>31</v>
      </c>
      <c r="D162" s="34" t="s">
        <v>576</v>
      </c>
      <c r="R162" s="7"/>
      <c r="W162" s="7" t="s">
        <v>11</v>
      </c>
      <c r="X162" s="7" t="s">
        <v>577</v>
      </c>
    </row>
    <row r="163" spans="3:24">
      <c r="C163" s="34" t="s">
        <v>31</v>
      </c>
      <c r="D163" s="34" t="s">
        <v>578</v>
      </c>
      <c r="R163" s="7"/>
      <c r="W163" s="7" t="s">
        <v>11</v>
      </c>
      <c r="X163" s="7" t="s">
        <v>579</v>
      </c>
    </row>
    <row r="164" spans="3:24">
      <c r="C164" s="34" t="s">
        <v>31</v>
      </c>
      <c r="D164" s="34" t="s">
        <v>580</v>
      </c>
      <c r="R164" s="7"/>
      <c r="W164" s="7" t="s">
        <v>11</v>
      </c>
      <c r="X164" s="7" t="s">
        <v>581</v>
      </c>
    </row>
    <row r="165" spans="3:24">
      <c r="C165" s="34" t="s">
        <v>31</v>
      </c>
      <c r="D165" s="34" t="s">
        <v>582</v>
      </c>
      <c r="R165" s="7"/>
      <c r="W165" s="7" t="s">
        <v>11</v>
      </c>
      <c r="X165" s="7" t="s">
        <v>583</v>
      </c>
    </row>
    <row r="166" spans="3:24">
      <c r="C166" s="34" t="s">
        <v>31</v>
      </c>
      <c r="D166" s="34" t="s">
        <v>584</v>
      </c>
      <c r="R166" s="7"/>
      <c r="W166" s="7" t="s">
        <v>11</v>
      </c>
      <c r="X166" s="7" t="s">
        <v>585</v>
      </c>
    </row>
    <row r="167" spans="3:24">
      <c r="C167" s="34" t="s">
        <v>31</v>
      </c>
      <c r="D167" s="34" t="s">
        <v>586</v>
      </c>
      <c r="R167" s="7"/>
      <c r="W167" s="7" t="s">
        <v>11</v>
      </c>
      <c r="X167" s="7" t="s">
        <v>587</v>
      </c>
    </row>
    <row r="168" spans="3:24">
      <c r="C168" s="34" t="s">
        <v>31</v>
      </c>
      <c r="D168" s="34" t="s">
        <v>588</v>
      </c>
      <c r="R168" s="7"/>
      <c r="W168" s="7" t="s">
        <v>11</v>
      </c>
      <c r="X168" s="7" t="s">
        <v>589</v>
      </c>
    </row>
    <row r="169" spans="3:24">
      <c r="C169" s="34" t="s">
        <v>31</v>
      </c>
      <c r="D169" s="34" t="s">
        <v>590</v>
      </c>
      <c r="R169" s="7"/>
      <c r="W169" s="7" t="s">
        <v>11</v>
      </c>
      <c r="X169" s="7" t="s">
        <v>591</v>
      </c>
    </row>
    <row r="170" spans="3:24">
      <c r="C170" s="34" t="s">
        <v>31</v>
      </c>
      <c r="D170" s="34" t="s">
        <v>592</v>
      </c>
      <c r="R170" s="7"/>
      <c r="W170" s="7" t="s">
        <v>11</v>
      </c>
      <c r="X170" s="7" t="s">
        <v>593</v>
      </c>
    </row>
    <row r="171" spans="3:24">
      <c r="C171" s="34" t="s">
        <v>31</v>
      </c>
      <c r="D171" s="34" t="s">
        <v>594</v>
      </c>
      <c r="W171" s="7" t="s">
        <v>11</v>
      </c>
      <c r="X171" s="7" t="s">
        <v>595</v>
      </c>
    </row>
    <row r="172" spans="3:24">
      <c r="C172" s="34" t="s">
        <v>31</v>
      </c>
      <c r="D172" s="34" t="s">
        <v>596</v>
      </c>
      <c r="W172" s="7" t="s">
        <v>11</v>
      </c>
      <c r="X172" s="7" t="s">
        <v>597</v>
      </c>
    </row>
    <row r="173" spans="3:24">
      <c r="C173" s="34" t="s">
        <v>31</v>
      </c>
      <c r="D173" s="34" t="s">
        <v>598</v>
      </c>
      <c r="W173" s="7" t="s">
        <v>11</v>
      </c>
      <c r="X173" s="7" t="s">
        <v>599</v>
      </c>
    </row>
    <row r="174" spans="3:24">
      <c r="C174" s="34" t="s">
        <v>31</v>
      </c>
      <c r="D174" s="34" t="s">
        <v>600</v>
      </c>
      <c r="W174" s="7" t="s">
        <v>11</v>
      </c>
      <c r="X174" s="7" t="s">
        <v>601</v>
      </c>
    </row>
    <row r="175" spans="3:24">
      <c r="C175" s="34" t="s">
        <v>31</v>
      </c>
      <c r="D175" s="34" t="s">
        <v>602</v>
      </c>
      <c r="W175" s="7" t="s">
        <v>11</v>
      </c>
      <c r="X175" s="7" t="s">
        <v>603</v>
      </c>
    </row>
    <row r="176" spans="3:24">
      <c r="C176" s="34" t="s">
        <v>31</v>
      </c>
      <c r="D176" s="34" t="s">
        <v>604</v>
      </c>
      <c r="W176" s="7" t="s">
        <v>11</v>
      </c>
      <c r="X176" s="7" t="s">
        <v>605</v>
      </c>
    </row>
    <row r="177" spans="3:24">
      <c r="C177" s="34" t="s">
        <v>31</v>
      </c>
      <c r="D177" s="34" t="s">
        <v>606</v>
      </c>
      <c r="W177" s="7" t="s">
        <v>11</v>
      </c>
      <c r="X177" s="7" t="s">
        <v>607</v>
      </c>
    </row>
    <row r="178" spans="3:24">
      <c r="C178" s="34" t="s">
        <v>31</v>
      </c>
      <c r="D178" s="34" t="s">
        <v>608</v>
      </c>
      <c r="W178" s="7" t="s">
        <v>11</v>
      </c>
      <c r="X178" s="7" t="s">
        <v>609</v>
      </c>
    </row>
    <row r="179" spans="3:24">
      <c r="C179" s="34" t="s">
        <v>31</v>
      </c>
      <c r="D179" s="34" t="s">
        <v>610</v>
      </c>
      <c r="W179" s="7" t="s">
        <v>11</v>
      </c>
      <c r="X179" s="7" t="s">
        <v>611</v>
      </c>
    </row>
    <row r="180" spans="3:24">
      <c r="C180" s="34" t="s">
        <v>31</v>
      </c>
      <c r="D180" s="34" t="s">
        <v>612</v>
      </c>
      <c r="W180" s="7" t="s">
        <v>11</v>
      </c>
      <c r="X180" s="7" t="s">
        <v>613</v>
      </c>
    </row>
    <row r="181" spans="3:24">
      <c r="C181" s="34" t="s">
        <v>31</v>
      </c>
      <c r="D181" s="34" t="s">
        <v>614</v>
      </c>
      <c r="W181" s="7" t="s">
        <v>11</v>
      </c>
      <c r="X181" s="7" t="s">
        <v>615</v>
      </c>
    </row>
    <row r="182" spans="3:24">
      <c r="C182" s="34" t="s">
        <v>31</v>
      </c>
      <c r="D182" s="34" t="s">
        <v>616</v>
      </c>
      <c r="W182" s="7" t="s">
        <v>11</v>
      </c>
      <c r="X182" s="7" t="s">
        <v>617</v>
      </c>
    </row>
    <row r="183" spans="3:24">
      <c r="C183" s="34" t="s">
        <v>31</v>
      </c>
      <c r="D183" s="34" t="s">
        <v>618</v>
      </c>
      <c r="W183" s="7" t="s">
        <v>11</v>
      </c>
      <c r="X183" s="7" t="s">
        <v>619</v>
      </c>
    </row>
    <row r="184" spans="3:24">
      <c r="C184" s="34" t="s">
        <v>31</v>
      </c>
      <c r="D184" s="34" t="s">
        <v>620</v>
      </c>
      <c r="W184" s="7" t="s">
        <v>11</v>
      </c>
      <c r="X184" s="7" t="s">
        <v>621</v>
      </c>
    </row>
    <row r="185" spans="3:24">
      <c r="C185" s="34" t="s">
        <v>31</v>
      </c>
      <c r="D185" s="34" t="s">
        <v>622</v>
      </c>
      <c r="W185" s="7" t="s">
        <v>11</v>
      </c>
      <c r="X185" s="7" t="s">
        <v>623</v>
      </c>
    </row>
    <row r="186" spans="3:24">
      <c r="C186" s="34" t="s">
        <v>31</v>
      </c>
      <c r="D186" s="34" t="s">
        <v>624</v>
      </c>
      <c r="W186" s="7" t="s">
        <v>11</v>
      </c>
      <c r="X186" s="7" t="s">
        <v>625</v>
      </c>
    </row>
    <row r="187" spans="3:24">
      <c r="C187" s="34" t="s">
        <v>31</v>
      </c>
      <c r="D187" s="34" t="s">
        <v>626</v>
      </c>
      <c r="W187" s="7" t="s">
        <v>11</v>
      </c>
      <c r="X187" s="7" t="s">
        <v>627</v>
      </c>
    </row>
    <row r="188" spans="3:24">
      <c r="C188" s="34" t="s">
        <v>31</v>
      </c>
      <c r="D188" s="34" t="s">
        <v>628</v>
      </c>
      <c r="W188" s="7" t="s">
        <v>11</v>
      </c>
      <c r="X188" s="7" t="s">
        <v>629</v>
      </c>
    </row>
    <row r="189" spans="3:24">
      <c r="C189" s="34" t="s">
        <v>31</v>
      </c>
      <c r="D189" s="34" t="s">
        <v>630</v>
      </c>
      <c r="W189" s="7" t="s">
        <v>11</v>
      </c>
      <c r="X189" s="7" t="s">
        <v>631</v>
      </c>
    </row>
    <row r="190" spans="3:24">
      <c r="C190" s="34" t="s">
        <v>31</v>
      </c>
      <c r="D190" s="34" t="s">
        <v>632</v>
      </c>
      <c r="W190" s="7" t="s">
        <v>11</v>
      </c>
      <c r="X190" s="7" t="s">
        <v>633</v>
      </c>
    </row>
    <row r="191" spans="3:24">
      <c r="C191" s="34" t="s">
        <v>31</v>
      </c>
      <c r="D191" s="34" t="s">
        <v>634</v>
      </c>
      <c r="W191" s="7" t="s">
        <v>11</v>
      </c>
      <c r="X191" s="7" t="s">
        <v>635</v>
      </c>
    </row>
    <row r="192" spans="3:24">
      <c r="C192" s="34" t="s">
        <v>31</v>
      </c>
      <c r="D192" s="34" t="s">
        <v>636</v>
      </c>
      <c r="W192" s="7" t="s">
        <v>11</v>
      </c>
      <c r="X192" s="7" t="s">
        <v>637</v>
      </c>
    </row>
    <row r="193" spans="3:24">
      <c r="C193" s="34" t="s">
        <v>31</v>
      </c>
      <c r="D193" s="34" t="s">
        <v>638</v>
      </c>
      <c r="W193" s="7" t="s">
        <v>11</v>
      </c>
      <c r="X193" s="7" t="s">
        <v>639</v>
      </c>
    </row>
    <row r="194" spans="3:24">
      <c r="C194" s="34" t="s">
        <v>31</v>
      </c>
      <c r="D194" s="34" t="s">
        <v>640</v>
      </c>
      <c r="W194" s="7" t="s">
        <v>11</v>
      </c>
      <c r="X194" s="7" t="s">
        <v>641</v>
      </c>
    </row>
    <row r="195" spans="3:24">
      <c r="C195" s="34" t="s">
        <v>31</v>
      </c>
      <c r="D195" s="34" t="s">
        <v>642</v>
      </c>
      <c r="W195" s="7" t="s">
        <v>11</v>
      </c>
      <c r="X195" s="7" t="s">
        <v>643</v>
      </c>
    </row>
    <row r="196" spans="3:24">
      <c r="C196" s="34" t="s">
        <v>31</v>
      </c>
      <c r="D196" s="34" t="s">
        <v>644</v>
      </c>
      <c r="W196" s="7" t="s">
        <v>11</v>
      </c>
      <c r="X196" s="7" t="s">
        <v>645</v>
      </c>
    </row>
    <row r="197" spans="3:24">
      <c r="C197" s="34" t="s">
        <v>31</v>
      </c>
      <c r="D197" s="34" t="s">
        <v>646</v>
      </c>
      <c r="W197" s="7" t="s">
        <v>11</v>
      </c>
      <c r="X197" s="7" t="s">
        <v>647</v>
      </c>
    </row>
    <row r="198" spans="3:24">
      <c r="C198" s="34" t="s">
        <v>31</v>
      </c>
      <c r="D198" s="34" t="s">
        <v>648</v>
      </c>
      <c r="W198" s="7" t="s">
        <v>11</v>
      </c>
      <c r="X198" s="7" t="s">
        <v>649</v>
      </c>
    </row>
    <row r="199" spans="3:24">
      <c r="C199" s="34" t="s">
        <v>31</v>
      </c>
      <c r="D199" s="34" t="s">
        <v>650</v>
      </c>
      <c r="W199" s="7" t="s">
        <v>11</v>
      </c>
      <c r="X199" s="7" t="s">
        <v>651</v>
      </c>
    </row>
    <row r="200" spans="3:24">
      <c r="C200" s="34" t="s">
        <v>31</v>
      </c>
      <c r="D200" s="34" t="s">
        <v>652</v>
      </c>
      <c r="W200" s="7" t="s">
        <v>11</v>
      </c>
      <c r="X200" s="7" t="s">
        <v>653</v>
      </c>
    </row>
    <row r="201" spans="3:24">
      <c r="C201" s="34" t="s">
        <v>31</v>
      </c>
      <c r="D201" s="34" t="s">
        <v>654</v>
      </c>
      <c r="W201" s="7" t="s">
        <v>11</v>
      </c>
      <c r="X201" s="7" t="s">
        <v>655</v>
      </c>
    </row>
    <row r="202" spans="3:24">
      <c r="C202" s="34" t="s">
        <v>31</v>
      </c>
      <c r="D202" s="34" t="s">
        <v>656</v>
      </c>
      <c r="W202" s="7" t="s">
        <v>11</v>
      </c>
      <c r="X202" s="7" t="s">
        <v>657</v>
      </c>
    </row>
    <row r="203" spans="3:24">
      <c r="C203" s="34" t="s">
        <v>31</v>
      </c>
      <c r="D203" s="34" t="s">
        <v>658</v>
      </c>
      <c r="W203" s="7" t="s">
        <v>11</v>
      </c>
      <c r="X203" s="7" t="s">
        <v>659</v>
      </c>
    </row>
    <row r="204" spans="3:24">
      <c r="C204" s="34" t="s">
        <v>31</v>
      </c>
      <c r="D204" s="34" t="s">
        <v>660</v>
      </c>
      <c r="W204" s="7" t="s">
        <v>11</v>
      </c>
      <c r="X204" s="7" t="s">
        <v>661</v>
      </c>
    </row>
    <row r="205" spans="3:24">
      <c r="C205" s="34" t="s">
        <v>31</v>
      </c>
      <c r="D205" s="34" t="s">
        <v>662</v>
      </c>
      <c r="W205" s="7" t="s">
        <v>11</v>
      </c>
      <c r="X205" s="7" t="s">
        <v>663</v>
      </c>
    </row>
    <row r="206" spans="3:24">
      <c r="C206" s="34" t="s">
        <v>31</v>
      </c>
      <c r="D206" s="34" t="s">
        <v>664</v>
      </c>
      <c r="W206" s="7" t="s">
        <v>11</v>
      </c>
      <c r="X206" s="7" t="s">
        <v>665</v>
      </c>
    </row>
    <row r="207" spans="3:24">
      <c r="C207" s="34" t="s">
        <v>31</v>
      </c>
      <c r="D207" s="34" t="s">
        <v>666</v>
      </c>
      <c r="W207" s="7" t="s">
        <v>11</v>
      </c>
      <c r="X207" s="7" t="s">
        <v>667</v>
      </c>
    </row>
    <row r="208" spans="3:24">
      <c r="C208" s="34" t="s">
        <v>31</v>
      </c>
      <c r="D208" s="34" t="s">
        <v>668</v>
      </c>
      <c r="W208" s="7" t="s">
        <v>11</v>
      </c>
      <c r="X208" s="7" t="s">
        <v>669</v>
      </c>
    </row>
    <row r="209" spans="1:24">
      <c r="C209" s="34" t="s">
        <v>31</v>
      </c>
      <c r="D209" s="34" t="s">
        <v>670</v>
      </c>
      <c r="W209" s="7" t="s">
        <v>11</v>
      </c>
      <c r="X209" s="7" t="s">
        <v>671</v>
      </c>
    </row>
    <row r="210" spans="1:24">
      <c r="C210" s="34" t="s">
        <v>31</v>
      </c>
      <c r="D210" s="34" t="s">
        <v>94</v>
      </c>
      <c r="W210" s="7" t="s">
        <v>11</v>
      </c>
      <c r="X210" s="7" t="s">
        <v>672</v>
      </c>
    </row>
    <row r="211" spans="1:24">
      <c r="C211" s="34" t="s">
        <v>31</v>
      </c>
      <c r="D211" s="34" t="s">
        <v>673</v>
      </c>
      <c r="W211" s="7" t="s">
        <v>11</v>
      </c>
      <c r="X211" s="7" t="s">
        <v>674</v>
      </c>
    </row>
    <row r="212" spans="1:24">
      <c r="C212" s="34" t="s">
        <v>31</v>
      </c>
      <c r="D212" s="34" t="s">
        <v>675</v>
      </c>
      <c r="W212" s="7" t="s">
        <v>11</v>
      </c>
      <c r="X212" s="7" t="s">
        <v>676</v>
      </c>
    </row>
    <row r="213" spans="1:24">
      <c r="C213" s="34" t="s">
        <v>31</v>
      </c>
      <c r="D213" s="34" t="s">
        <v>677</v>
      </c>
      <c r="W213" s="7" t="s">
        <v>11</v>
      </c>
      <c r="X213" s="7" t="s">
        <v>678</v>
      </c>
    </row>
    <row r="214" spans="1:24">
      <c r="C214" s="34" t="s">
        <v>31</v>
      </c>
      <c r="D214" s="34" t="s">
        <v>679</v>
      </c>
      <c r="W214" s="7" t="s">
        <v>11</v>
      </c>
      <c r="X214" s="7" t="s">
        <v>680</v>
      </c>
    </row>
    <row r="215" spans="1:24">
      <c r="C215" s="34" t="s">
        <v>31</v>
      </c>
      <c r="D215" s="34" t="s">
        <v>681</v>
      </c>
      <c r="W215" s="7" t="s">
        <v>11</v>
      </c>
      <c r="X215" s="7" t="s">
        <v>682</v>
      </c>
    </row>
    <row r="216" spans="1:24">
      <c r="C216" s="34" t="s">
        <v>31</v>
      </c>
      <c r="D216" s="34" t="s">
        <v>683</v>
      </c>
      <c r="W216" s="7" t="s">
        <v>11</v>
      </c>
      <c r="X216" s="7" t="s">
        <v>684</v>
      </c>
    </row>
    <row r="217" spans="1:24">
      <c r="C217" s="34" t="s">
        <v>31</v>
      </c>
      <c r="D217" s="34" t="s">
        <v>685</v>
      </c>
      <c r="W217" s="7" t="s">
        <v>11</v>
      </c>
      <c r="X217" s="7" t="s">
        <v>686</v>
      </c>
    </row>
    <row r="218" spans="1:24">
      <c r="C218" s="34" t="s">
        <v>31</v>
      </c>
      <c r="D218" s="34" t="s">
        <v>687</v>
      </c>
      <c r="W218" s="7" t="s">
        <v>11</v>
      </c>
      <c r="X218" s="7" t="s">
        <v>688</v>
      </c>
    </row>
    <row r="219" spans="1:24">
      <c r="C219" s="34" t="s">
        <v>31</v>
      </c>
      <c r="D219" s="34" t="s">
        <v>689</v>
      </c>
      <c r="W219" s="7" t="s">
        <v>11</v>
      </c>
      <c r="X219" s="7" t="s">
        <v>690</v>
      </c>
    </row>
    <row r="220" spans="1:24">
      <c r="C220" s="34" t="s">
        <v>31</v>
      </c>
      <c r="D220" s="34" t="s">
        <v>691</v>
      </c>
      <c r="W220" s="7" t="s">
        <v>11</v>
      </c>
      <c r="X220" s="7" t="s">
        <v>692</v>
      </c>
    </row>
    <row r="221" spans="1:24">
      <c r="C221" s="34" t="s">
        <v>31</v>
      </c>
      <c r="D221" s="34" t="s">
        <v>102</v>
      </c>
      <c r="W221" s="7" t="s">
        <v>11</v>
      </c>
      <c r="X221" s="7" t="s">
        <v>693</v>
      </c>
    </row>
    <row r="222" spans="1:24">
      <c r="C222" s="34" t="s">
        <v>31</v>
      </c>
      <c r="D222" s="34" t="s">
        <v>694</v>
      </c>
      <c r="W222" s="7" t="s">
        <v>11</v>
      </c>
      <c r="X222" s="7" t="s">
        <v>695</v>
      </c>
    </row>
    <row r="223" spans="1:24">
      <c r="A223" s="7" t="s">
        <v>15</v>
      </c>
      <c r="B223" s="7" t="s">
        <v>71</v>
      </c>
      <c r="C223" s="34" t="s">
        <v>31</v>
      </c>
      <c r="D223" s="34" t="s">
        <v>696</v>
      </c>
      <c r="W223" s="7" t="s">
        <v>11</v>
      </c>
      <c r="X223" s="7" t="s">
        <v>697</v>
      </c>
    </row>
    <row r="224" spans="1:24">
      <c r="A224" s="7" t="s">
        <v>15</v>
      </c>
      <c r="B224" s="7" t="s">
        <v>62</v>
      </c>
      <c r="C224" s="34" t="s">
        <v>31</v>
      </c>
      <c r="D224" s="34" t="s">
        <v>698</v>
      </c>
      <c r="W224" s="7" t="s">
        <v>11</v>
      </c>
      <c r="X224" s="7" t="s">
        <v>699</v>
      </c>
    </row>
    <row r="225" spans="1:24">
      <c r="A225" s="7" t="s">
        <v>15</v>
      </c>
      <c r="B225" s="7" t="s">
        <v>700</v>
      </c>
      <c r="C225" s="34" t="s">
        <v>31</v>
      </c>
      <c r="D225" s="34" t="s">
        <v>701</v>
      </c>
      <c r="W225" s="7" t="s">
        <v>11</v>
      </c>
      <c r="X225" s="7" t="s">
        <v>702</v>
      </c>
    </row>
    <row r="226" spans="1:24">
      <c r="A226" s="7" t="s">
        <v>15</v>
      </c>
      <c r="B226" s="7" t="s">
        <v>703</v>
      </c>
      <c r="C226" s="34" t="s">
        <v>31</v>
      </c>
      <c r="D226" s="34" t="s">
        <v>704</v>
      </c>
      <c r="W226" s="7" t="s">
        <v>11</v>
      </c>
      <c r="X226" s="7" t="s">
        <v>705</v>
      </c>
    </row>
    <row r="227" spans="1:24">
      <c r="A227" s="7" t="s">
        <v>15</v>
      </c>
      <c r="B227" s="7" t="s">
        <v>706</v>
      </c>
      <c r="C227" s="34" t="s">
        <v>31</v>
      </c>
      <c r="D227" s="34" t="s">
        <v>707</v>
      </c>
      <c r="W227" s="7" t="s">
        <v>11</v>
      </c>
      <c r="X227" s="7" t="s">
        <v>708</v>
      </c>
    </row>
    <row r="228" spans="1:24">
      <c r="A228" s="7" t="s">
        <v>15</v>
      </c>
      <c r="B228" s="7" t="s">
        <v>709</v>
      </c>
      <c r="C228" s="34" t="s">
        <v>31</v>
      </c>
      <c r="D228" s="34" t="s">
        <v>710</v>
      </c>
      <c r="W228" s="7" t="s">
        <v>11</v>
      </c>
      <c r="X228" s="7" t="s">
        <v>711</v>
      </c>
    </row>
    <row r="229" spans="1:24">
      <c r="C229" s="34" t="s">
        <v>31</v>
      </c>
      <c r="D229" s="34" t="s">
        <v>712</v>
      </c>
      <c r="W229" s="7" t="s">
        <v>11</v>
      </c>
      <c r="X229" s="7" t="s">
        <v>713</v>
      </c>
    </row>
    <row r="230" spans="1:24">
      <c r="C230" s="34" t="s">
        <v>31</v>
      </c>
      <c r="D230" s="34" t="s">
        <v>714</v>
      </c>
      <c r="W230" s="7" t="s">
        <v>11</v>
      </c>
      <c r="X230" s="7" t="s">
        <v>715</v>
      </c>
    </row>
    <row r="231" spans="1:24">
      <c r="C231" s="34" t="s">
        <v>31</v>
      </c>
      <c r="D231" s="34" t="s">
        <v>716</v>
      </c>
      <c r="W231" s="7" t="s">
        <v>11</v>
      </c>
      <c r="X231" s="7" t="s">
        <v>717</v>
      </c>
    </row>
    <row r="232" spans="1:24">
      <c r="C232" s="34" t="s">
        <v>31</v>
      </c>
      <c r="D232" s="34" t="s">
        <v>718</v>
      </c>
      <c r="W232" s="7" t="s">
        <v>11</v>
      </c>
      <c r="X232" s="7" t="s">
        <v>719</v>
      </c>
    </row>
    <row r="233" spans="1:24">
      <c r="C233" s="34" t="s">
        <v>31</v>
      </c>
      <c r="D233" s="34" t="s">
        <v>720</v>
      </c>
      <c r="W233" s="7" t="s">
        <v>11</v>
      </c>
      <c r="X233" s="7" t="s">
        <v>721</v>
      </c>
    </row>
    <row r="234" spans="1:24">
      <c r="C234" s="34" t="s">
        <v>31</v>
      </c>
      <c r="D234" s="34" t="s">
        <v>722</v>
      </c>
      <c r="W234" s="7" t="s">
        <v>11</v>
      </c>
      <c r="X234" s="7" t="s">
        <v>723</v>
      </c>
    </row>
    <row r="235" spans="1:24">
      <c r="C235" s="34" t="s">
        <v>31</v>
      </c>
      <c r="D235" s="34" t="s">
        <v>724</v>
      </c>
      <c r="W235" s="7" t="s">
        <v>11</v>
      </c>
      <c r="X235" s="7" t="s">
        <v>725</v>
      </c>
    </row>
    <row r="236" spans="1:24">
      <c r="C236" s="34" t="s">
        <v>31</v>
      </c>
      <c r="D236" s="34" t="s">
        <v>726</v>
      </c>
      <c r="W236" s="7" t="s">
        <v>11</v>
      </c>
      <c r="X236" s="7" t="s">
        <v>727</v>
      </c>
    </row>
    <row r="237" spans="1:24">
      <c r="C237" s="34" t="s">
        <v>31</v>
      </c>
      <c r="D237" s="34" t="s">
        <v>728</v>
      </c>
      <c r="W237" s="7" t="s">
        <v>11</v>
      </c>
      <c r="X237" s="7" t="s">
        <v>729</v>
      </c>
    </row>
    <row r="238" spans="1:24">
      <c r="C238" s="34" t="s">
        <v>31</v>
      </c>
      <c r="D238" s="34" t="s">
        <v>730</v>
      </c>
      <c r="W238" s="7" t="s">
        <v>11</v>
      </c>
      <c r="X238" s="7" t="s">
        <v>731</v>
      </c>
    </row>
    <row r="239" spans="1:24">
      <c r="C239" s="34" t="s">
        <v>31</v>
      </c>
      <c r="D239" s="34" t="s">
        <v>732</v>
      </c>
      <c r="W239" s="7" t="s">
        <v>11</v>
      </c>
      <c r="X239" s="7" t="s">
        <v>733</v>
      </c>
    </row>
    <row r="240" spans="1:24">
      <c r="C240" s="34" t="s">
        <v>31</v>
      </c>
      <c r="D240" s="34" t="s">
        <v>734</v>
      </c>
      <c r="W240" s="7" t="s">
        <v>11</v>
      </c>
      <c r="X240" s="7" t="s">
        <v>735</v>
      </c>
    </row>
    <row r="241" spans="3:24">
      <c r="C241" s="34" t="s">
        <v>31</v>
      </c>
      <c r="D241" s="34" t="s">
        <v>736</v>
      </c>
      <c r="W241" s="7" t="s">
        <v>11</v>
      </c>
      <c r="X241" s="7" t="s">
        <v>737</v>
      </c>
    </row>
    <row r="242" spans="3:24">
      <c r="C242" s="34" t="s">
        <v>31</v>
      </c>
      <c r="D242" s="34" t="s">
        <v>738</v>
      </c>
      <c r="W242" s="7" t="s">
        <v>11</v>
      </c>
      <c r="X242" s="7" t="s">
        <v>739</v>
      </c>
    </row>
    <row r="243" spans="3:24">
      <c r="C243" s="34" t="s">
        <v>31</v>
      </c>
      <c r="D243" s="34" t="s">
        <v>740</v>
      </c>
      <c r="W243" s="7" t="s">
        <v>11</v>
      </c>
      <c r="X243" s="7" t="s">
        <v>741</v>
      </c>
    </row>
    <row r="244" spans="3:24">
      <c r="C244" s="34" t="s">
        <v>31</v>
      </c>
      <c r="D244" s="34" t="s">
        <v>742</v>
      </c>
      <c r="W244" s="7" t="s">
        <v>11</v>
      </c>
      <c r="X244" s="7" t="s">
        <v>743</v>
      </c>
    </row>
    <row r="245" spans="3:24">
      <c r="C245" s="34" t="s">
        <v>31</v>
      </c>
      <c r="D245" s="34" t="s">
        <v>744</v>
      </c>
      <c r="W245" s="7" t="s">
        <v>11</v>
      </c>
      <c r="X245" s="7" t="s">
        <v>745</v>
      </c>
    </row>
    <row r="246" spans="3:24">
      <c r="W246" s="7" t="s">
        <v>11</v>
      </c>
      <c r="X246" s="7" t="s">
        <v>746</v>
      </c>
    </row>
    <row r="247" spans="3:24">
      <c r="W247" s="7" t="s">
        <v>11</v>
      </c>
      <c r="X247" s="7" t="s">
        <v>747</v>
      </c>
    </row>
    <row r="248" spans="3:24">
      <c r="W248" s="7" t="s">
        <v>11</v>
      </c>
      <c r="X248" s="7" t="s">
        <v>748</v>
      </c>
    </row>
    <row r="249" spans="3:24">
      <c r="W249" s="7" t="s">
        <v>11</v>
      </c>
      <c r="X249" s="7" t="s">
        <v>749</v>
      </c>
    </row>
    <row r="250" spans="3:24">
      <c r="W250" s="7" t="s">
        <v>11</v>
      </c>
      <c r="X250" s="7" t="s">
        <v>750</v>
      </c>
    </row>
    <row r="251" spans="3:24">
      <c r="W251" s="7" t="s">
        <v>11</v>
      </c>
      <c r="X251" s="7" t="s">
        <v>751</v>
      </c>
    </row>
    <row r="252" spans="3:24">
      <c r="W252" s="7" t="s">
        <v>11</v>
      </c>
      <c r="X252" s="7" t="s">
        <v>752</v>
      </c>
    </row>
    <row r="253" spans="3:24">
      <c r="W253" s="7" t="s">
        <v>11</v>
      </c>
      <c r="X253" s="7" t="s">
        <v>753</v>
      </c>
    </row>
    <row r="254" spans="3:24">
      <c r="W254" s="7" t="s">
        <v>11</v>
      </c>
      <c r="X254" s="7" t="s">
        <v>754</v>
      </c>
    </row>
    <row r="255" spans="3:24">
      <c r="W255" s="7" t="s">
        <v>11</v>
      </c>
      <c r="X255" s="7" t="s">
        <v>755</v>
      </c>
    </row>
    <row r="256" spans="3:24">
      <c r="W256" s="7" t="s">
        <v>11</v>
      </c>
      <c r="X256" s="7" t="s">
        <v>756</v>
      </c>
    </row>
    <row r="257" spans="23:24">
      <c r="W257" s="7" t="s">
        <v>11</v>
      </c>
      <c r="X257" s="7" t="s">
        <v>757</v>
      </c>
    </row>
    <row r="258" spans="23:24">
      <c r="W258" s="7" t="s">
        <v>11</v>
      </c>
      <c r="X258" s="7" t="s">
        <v>758</v>
      </c>
    </row>
    <row r="259" spans="23:24">
      <c r="W259" s="7" t="s">
        <v>11</v>
      </c>
      <c r="X259" s="7" t="s">
        <v>759</v>
      </c>
    </row>
    <row r="260" spans="23:24">
      <c r="W260" s="7" t="s">
        <v>11</v>
      </c>
      <c r="X260" s="7" t="s">
        <v>760</v>
      </c>
    </row>
    <row r="261" spans="23:24">
      <c r="W261" s="7" t="s">
        <v>11</v>
      </c>
      <c r="X261" s="7" t="s">
        <v>761</v>
      </c>
    </row>
    <row r="262" spans="23:24">
      <c r="W262" s="7" t="s">
        <v>11</v>
      </c>
      <c r="X262" s="7" t="s">
        <v>762</v>
      </c>
    </row>
    <row r="263" spans="23:24">
      <c r="W263" s="7" t="s">
        <v>11</v>
      </c>
      <c r="X263" s="7" t="s">
        <v>763</v>
      </c>
    </row>
    <row r="264" spans="23:24">
      <c r="W264" s="7" t="s">
        <v>11</v>
      </c>
      <c r="X264" s="7" t="s">
        <v>764</v>
      </c>
    </row>
    <row r="265" spans="23:24">
      <c r="W265" s="7" t="s">
        <v>11</v>
      </c>
      <c r="X265" s="7" t="s">
        <v>765</v>
      </c>
    </row>
    <row r="266" spans="23:24">
      <c r="W266" s="7" t="s">
        <v>11</v>
      </c>
      <c r="X266" s="7" t="s">
        <v>766</v>
      </c>
    </row>
    <row r="267" spans="23:24">
      <c r="W267" s="7" t="s">
        <v>11</v>
      </c>
      <c r="X267" s="7" t="s">
        <v>767</v>
      </c>
    </row>
    <row r="268" spans="23:24">
      <c r="W268" s="7" t="s">
        <v>11</v>
      </c>
      <c r="X268" s="7" t="s">
        <v>768</v>
      </c>
    </row>
    <row r="269" spans="23:24">
      <c r="W269" s="7" t="s">
        <v>11</v>
      </c>
      <c r="X269" s="7" t="s">
        <v>769</v>
      </c>
    </row>
    <row r="270" spans="23:24">
      <c r="W270" s="7" t="s">
        <v>11</v>
      </c>
      <c r="X270" s="7" t="s">
        <v>770</v>
      </c>
    </row>
    <row r="271" spans="23:24">
      <c r="W271" s="7" t="s">
        <v>11</v>
      </c>
      <c r="X271" s="7" t="s">
        <v>771</v>
      </c>
    </row>
    <row r="272" spans="23:24">
      <c r="W272" s="7" t="s">
        <v>11</v>
      </c>
      <c r="X272" s="7" t="s">
        <v>772</v>
      </c>
    </row>
    <row r="273" spans="23:24">
      <c r="W273" s="7" t="s">
        <v>11</v>
      </c>
      <c r="X273" s="7" t="s">
        <v>773</v>
      </c>
    </row>
    <row r="274" spans="23:24">
      <c r="W274" s="7" t="s">
        <v>11</v>
      </c>
      <c r="X274" s="7" t="s">
        <v>774</v>
      </c>
    </row>
    <row r="275" spans="23:24">
      <c r="W275" s="7" t="s">
        <v>11</v>
      </c>
      <c r="X275" s="7" t="s">
        <v>775</v>
      </c>
    </row>
    <row r="276" spans="23:24">
      <c r="W276" s="7" t="s">
        <v>11</v>
      </c>
      <c r="X276" s="7" t="s">
        <v>776</v>
      </c>
    </row>
    <row r="277" spans="23:24">
      <c r="W277" s="7" t="s">
        <v>11</v>
      </c>
      <c r="X277" s="7" t="s">
        <v>777</v>
      </c>
    </row>
    <row r="278" spans="23:24">
      <c r="W278" s="7" t="s">
        <v>11</v>
      </c>
      <c r="X278" s="7" t="s">
        <v>778</v>
      </c>
    </row>
    <row r="279" spans="23:24">
      <c r="W279" s="7" t="s">
        <v>11</v>
      </c>
      <c r="X279" s="7" t="s">
        <v>779</v>
      </c>
    </row>
    <row r="280" spans="23:24">
      <c r="W280" s="7" t="s">
        <v>11</v>
      </c>
      <c r="X280" s="7" t="s">
        <v>780</v>
      </c>
    </row>
    <row r="281" spans="23:24">
      <c r="W281" s="7" t="s">
        <v>11</v>
      </c>
      <c r="X281" s="7" t="s">
        <v>781</v>
      </c>
    </row>
    <row r="282" spans="23:24">
      <c r="W282" s="7" t="s">
        <v>11</v>
      </c>
      <c r="X282" s="7" t="s">
        <v>782</v>
      </c>
    </row>
    <row r="283" spans="23:24">
      <c r="W283" s="7" t="s">
        <v>11</v>
      </c>
      <c r="X283" s="7" t="s">
        <v>783</v>
      </c>
    </row>
    <row r="284" spans="23:24">
      <c r="W284" s="7" t="s">
        <v>11</v>
      </c>
      <c r="X284" s="7" t="s">
        <v>784</v>
      </c>
    </row>
    <row r="285" spans="23:24">
      <c r="W285" s="7" t="s">
        <v>11</v>
      </c>
      <c r="X285" s="7" t="s">
        <v>785</v>
      </c>
    </row>
    <row r="286" spans="23:24">
      <c r="W286" s="7" t="s">
        <v>11</v>
      </c>
      <c r="X286" s="7" t="s">
        <v>786</v>
      </c>
    </row>
    <row r="287" spans="23:24">
      <c r="W287" s="7" t="s">
        <v>11</v>
      </c>
      <c r="X287" s="7" t="s">
        <v>787</v>
      </c>
    </row>
    <row r="288" spans="23:24">
      <c r="W288" s="7" t="s">
        <v>11</v>
      </c>
      <c r="X288" s="7" t="s">
        <v>788</v>
      </c>
    </row>
    <row r="289" spans="23:24">
      <c r="W289" s="7" t="s">
        <v>11</v>
      </c>
      <c r="X289" s="7" t="s">
        <v>789</v>
      </c>
    </row>
    <row r="290" spans="23:24">
      <c r="W290" s="7" t="s">
        <v>11</v>
      </c>
      <c r="X290" s="7" t="s">
        <v>790</v>
      </c>
    </row>
    <row r="291" spans="23:24">
      <c r="W291" s="7" t="s">
        <v>11</v>
      </c>
      <c r="X291" s="7" t="s">
        <v>791</v>
      </c>
    </row>
    <row r="292" spans="23:24">
      <c r="W292" s="7" t="s">
        <v>11</v>
      </c>
      <c r="X292" s="7" t="s">
        <v>792</v>
      </c>
    </row>
    <row r="293" spans="23:24">
      <c r="W293" s="7" t="s">
        <v>11</v>
      </c>
      <c r="X293" s="7" t="s">
        <v>793</v>
      </c>
    </row>
    <row r="294" spans="23:24">
      <c r="W294" s="7" t="s">
        <v>11</v>
      </c>
      <c r="X294" s="7" t="s">
        <v>794</v>
      </c>
    </row>
    <row r="295" spans="23:24">
      <c r="W295" s="7" t="s">
        <v>11</v>
      </c>
      <c r="X295" s="7" t="s">
        <v>795</v>
      </c>
    </row>
    <row r="296" spans="23:24">
      <c r="W296" s="7" t="s">
        <v>11</v>
      </c>
      <c r="X296" s="7" t="s">
        <v>796</v>
      </c>
    </row>
    <row r="297" spans="23:24">
      <c r="W297" s="7" t="s">
        <v>11</v>
      </c>
      <c r="X297" s="7" t="s">
        <v>797</v>
      </c>
    </row>
    <row r="298" spans="23:24">
      <c r="W298" s="7" t="s">
        <v>11</v>
      </c>
      <c r="X298" s="7" t="s">
        <v>798</v>
      </c>
    </row>
    <row r="299" spans="23:24">
      <c r="W299" s="7" t="s">
        <v>11</v>
      </c>
      <c r="X299" s="7" t="s">
        <v>799</v>
      </c>
    </row>
    <row r="300" spans="23:24">
      <c r="W300" s="7" t="s">
        <v>11</v>
      </c>
      <c r="X300" s="7" t="s">
        <v>800</v>
      </c>
    </row>
    <row r="301" spans="23:24">
      <c r="W301" s="7" t="s">
        <v>11</v>
      </c>
      <c r="X301" s="7" t="s">
        <v>801</v>
      </c>
    </row>
    <row r="302" spans="23:24">
      <c r="W302" s="7" t="s">
        <v>11</v>
      </c>
      <c r="X302" s="7" t="s">
        <v>802</v>
      </c>
    </row>
    <row r="303" spans="23:24">
      <c r="W303" s="7" t="s">
        <v>11</v>
      </c>
      <c r="X303" s="7" t="s">
        <v>803</v>
      </c>
    </row>
    <row r="304" spans="23:24">
      <c r="W304" s="7" t="s">
        <v>11</v>
      </c>
      <c r="X304" s="7" t="s">
        <v>804</v>
      </c>
    </row>
    <row r="305" spans="23:24">
      <c r="W305" s="7" t="s">
        <v>11</v>
      </c>
      <c r="X305" s="7" t="s">
        <v>805</v>
      </c>
    </row>
    <row r="306" spans="23:24">
      <c r="W306" s="7" t="s">
        <v>11</v>
      </c>
      <c r="X306" s="7" t="s">
        <v>806</v>
      </c>
    </row>
    <row r="307" spans="23:24">
      <c r="W307" s="7" t="s">
        <v>11</v>
      </c>
      <c r="X307" s="7" t="s">
        <v>807</v>
      </c>
    </row>
    <row r="308" spans="23:24">
      <c r="W308" s="7" t="s">
        <v>11</v>
      </c>
      <c r="X308" s="7" t="s">
        <v>808</v>
      </c>
    </row>
    <row r="309" spans="23:24">
      <c r="W309" s="7" t="s">
        <v>11</v>
      </c>
      <c r="X309" s="7" t="s">
        <v>809</v>
      </c>
    </row>
    <row r="310" spans="23:24">
      <c r="W310" s="7" t="s">
        <v>11</v>
      </c>
      <c r="X310" s="7" t="s">
        <v>810</v>
      </c>
    </row>
    <row r="311" spans="23:24">
      <c r="W311" s="7" t="s">
        <v>11</v>
      </c>
      <c r="X311" s="7" t="s">
        <v>811</v>
      </c>
    </row>
    <row r="312" spans="23:24">
      <c r="W312" s="7" t="s">
        <v>11</v>
      </c>
      <c r="X312" s="7" t="s">
        <v>812</v>
      </c>
    </row>
    <row r="313" spans="23:24">
      <c r="W313" s="7" t="s">
        <v>11</v>
      </c>
      <c r="X313" s="7" t="s">
        <v>813</v>
      </c>
    </row>
    <row r="314" spans="23:24">
      <c r="W314" s="7" t="s">
        <v>11</v>
      </c>
      <c r="X314" s="7" t="s">
        <v>814</v>
      </c>
    </row>
    <row r="315" spans="23:24">
      <c r="W315" s="7" t="s">
        <v>11</v>
      </c>
      <c r="X315" s="7" t="s">
        <v>815</v>
      </c>
    </row>
    <row r="316" spans="23:24">
      <c r="W316" s="7" t="s">
        <v>11</v>
      </c>
      <c r="X316" s="7" t="s">
        <v>816</v>
      </c>
    </row>
    <row r="317" spans="23:24">
      <c r="W317" s="7" t="s">
        <v>11</v>
      </c>
      <c r="X317" s="7" t="s">
        <v>817</v>
      </c>
    </row>
    <row r="318" spans="23:24">
      <c r="W318" s="7" t="s">
        <v>11</v>
      </c>
      <c r="X318" s="7" t="s">
        <v>818</v>
      </c>
    </row>
    <row r="319" spans="23:24">
      <c r="W319" s="7" t="s">
        <v>11</v>
      </c>
      <c r="X319" s="7" t="s">
        <v>819</v>
      </c>
    </row>
    <row r="320" spans="23:24">
      <c r="W320" s="7" t="s">
        <v>11</v>
      </c>
      <c r="X320" s="7" t="s">
        <v>820</v>
      </c>
    </row>
    <row r="321" spans="23:24">
      <c r="W321" s="7" t="s">
        <v>11</v>
      </c>
      <c r="X321" s="7" t="s">
        <v>821</v>
      </c>
    </row>
    <row r="322" spans="23:24">
      <c r="W322" s="7" t="s">
        <v>11</v>
      </c>
      <c r="X322" s="7" t="s">
        <v>822</v>
      </c>
    </row>
    <row r="323" spans="23:24">
      <c r="W323" s="7" t="s">
        <v>11</v>
      </c>
      <c r="X323" s="7" t="s">
        <v>823</v>
      </c>
    </row>
    <row r="324" spans="23:24">
      <c r="W324" s="7" t="s">
        <v>11</v>
      </c>
      <c r="X324" s="7" t="s">
        <v>824</v>
      </c>
    </row>
    <row r="325" spans="23:24">
      <c r="W325" s="7" t="s">
        <v>11</v>
      </c>
      <c r="X325" s="7" t="s">
        <v>825</v>
      </c>
    </row>
    <row r="326" spans="23:24">
      <c r="W326" s="7" t="s">
        <v>11</v>
      </c>
      <c r="X326" s="7" t="s">
        <v>826</v>
      </c>
    </row>
    <row r="327" spans="23:24">
      <c r="W327" s="7" t="s">
        <v>11</v>
      </c>
      <c r="X327" s="7" t="s">
        <v>827</v>
      </c>
    </row>
    <row r="328" spans="23:24">
      <c r="W328" s="7" t="s">
        <v>11</v>
      </c>
      <c r="X328" s="7" t="s">
        <v>828</v>
      </c>
    </row>
    <row r="329" spans="23:24">
      <c r="W329" s="7" t="s">
        <v>11</v>
      </c>
      <c r="X329" s="7" t="s">
        <v>829</v>
      </c>
    </row>
    <row r="330" spans="23:24">
      <c r="W330" s="7" t="s">
        <v>11</v>
      </c>
      <c r="X330" s="7" t="s">
        <v>830</v>
      </c>
    </row>
    <row r="331" spans="23:24">
      <c r="W331" s="7" t="s">
        <v>11</v>
      </c>
      <c r="X331" s="7" t="s">
        <v>831</v>
      </c>
    </row>
    <row r="332" spans="23:24">
      <c r="W332" s="7" t="s">
        <v>11</v>
      </c>
      <c r="X332" s="7" t="s">
        <v>832</v>
      </c>
    </row>
    <row r="333" spans="23:24">
      <c r="W333" s="7" t="s">
        <v>11</v>
      </c>
      <c r="X333" s="7" t="s">
        <v>833</v>
      </c>
    </row>
    <row r="334" spans="23:24">
      <c r="W334" s="7" t="s">
        <v>11</v>
      </c>
      <c r="X334" s="7" t="s">
        <v>834</v>
      </c>
    </row>
    <row r="335" spans="23:24">
      <c r="W335" s="7" t="s">
        <v>11</v>
      </c>
      <c r="X335" s="7" t="s">
        <v>835</v>
      </c>
    </row>
    <row r="336" spans="23:24">
      <c r="W336" s="7" t="s">
        <v>11</v>
      </c>
      <c r="X336" s="7" t="s">
        <v>836</v>
      </c>
    </row>
    <row r="337" spans="23:24">
      <c r="W337" s="7" t="s">
        <v>11</v>
      </c>
      <c r="X337" s="7" t="s">
        <v>837</v>
      </c>
    </row>
    <row r="338" spans="23:24">
      <c r="W338" s="7" t="s">
        <v>11</v>
      </c>
      <c r="X338" s="7" t="s">
        <v>838</v>
      </c>
    </row>
    <row r="339" spans="23:24">
      <c r="W339" s="7" t="s">
        <v>11</v>
      </c>
      <c r="X339" s="7" t="s">
        <v>839</v>
      </c>
    </row>
    <row r="340" spans="23:24">
      <c r="W340" s="7" t="s">
        <v>11</v>
      </c>
      <c r="X340" s="7" t="s">
        <v>840</v>
      </c>
    </row>
    <row r="341" spans="23:24">
      <c r="W341" s="7" t="s">
        <v>11</v>
      </c>
      <c r="X341" s="7" t="s">
        <v>841</v>
      </c>
    </row>
    <row r="342" spans="23:24">
      <c r="W342" s="7" t="s">
        <v>11</v>
      </c>
      <c r="X342" s="7" t="s">
        <v>842</v>
      </c>
    </row>
    <row r="343" spans="23:24">
      <c r="W343" s="7" t="s">
        <v>11</v>
      </c>
      <c r="X343" s="7" t="s">
        <v>843</v>
      </c>
    </row>
    <row r="344" spans="23:24">
      <c r="W344" s="7" t="s">
        <v>11</v>
      </c>
      <c r="X344" s="7" t="s">
        <v>844</v>
      </c>
    </row>
    <row r="345" spans="23:24">
      <c r="W345" s="7" t="s">
        <v>11</v>
      </c>
      <c r="X345" s="7" t="s">
        <v>845</v>
      </c>
    </row>
    <row r="346" spans="23:24">
      <c r="W346" s="7" t="s">
        <v>11</v>
      </c>
      <c r="X346" s="7" t="s">
        <v>846</v>
      </c>
    </row>
    <row r="347" spans="23:24">
      <c r="W347" s="7" t="s">
        <v>11</v>
      </c>
      <c r="X347" s="7" t="s">
        <v>847</v>
      </c>
    </row>
    <row r="348" spans="23:24">
      <c r="W348" s="7" t="s">
        <v>11</v>
      </c>
      <c r="X348" s="7" t="s">
        <v>848</v>
      </c>
    </row>
    <row r="349" spans="23:24">
      <c r="W349" s="7" t="s">
        <v>11</v>
      </c>
      <c r="X349" s="7" t="s">
        <v>849</v>
      </c>
    </row>
    <row r="350" spans="23:24">
      <c r="W350" s="7" t="s">
        <v>11</v>
      </c>
      <c r="X350" s="7" t="s">
        <v>850</v>
      </c>
    </row>
    <row r="351" spans="23:24">
      <c r="W351" s="7" t="s">
        <v>11</v>
      </c>
      <c r="X351" s="7" t="s">
        <v>851</v>
      </c>
    </row>
    <row r="352" spans="23:24">
      <c r="W352" s="7" t="s">
        <v>11</v>
      </c>
      <c r="X352" s="7" t="s">
        <v>852</v>
      </c>
    </row>
    <row r="353" spans="23:24">
      <c r="W353" s="7" t="s">
        <v>11</v>
      </c>
      <c r="X353" s="7" t="s">
        <v>853</v>
      </c>
    </row>
    <row r="354" spans="23:24">
      <c r="W354" s="7" t="s">
        <v>11</v>
      </c>
      <c r="X354" s="7" t="s">
        <v>854</v>
      </c>
    </row>
    <row r="355" spans="23:24">
      <c r="W355" s="7" t="s">
        <v>11</v>
      </c>
      <c r="X355" s="7" t="s">
        <v>855</v>
      </c>
    </row>
    <row r="356" spans="23:24">
      <c r="W356" s="7" t="s">
        <v>11</v>
      </c>
      <c r="X356" s="7" t="s">
        <v>856</v>
      </c>
    </row>
    <row r="357" spans="23:24">
      <c r="W357" s="7" t="s">
        <v>11</v>
      </c>
      <c r="X357" s="7" t="s">
        <v>857</v>
      </c>
    </row>
    <row r="358" spans="23:24">
      <c r="W358" s="7" t="s">
        <v>11</v>
      </c>
      <c r="X358" s="7" t="s">
        <v>858</v>
      </c>
    </row>
    <row r="359" spans="23:24">
      <c r="W359" s="7" t="s">
        <v>11</v>
      </c>
      <c r="X359" s="7" t="s">
        <v>859</v>
      </c>
    </row>
    <row r="360" spans="23:24">
      <c r="W360" s="7" t="s">
        <v>11</v>
      </c>
      <c r="X360" s="7" t="s">
        <v>860</v>
      </c>
    </row>
    <row r="361" spans="23:24">
      <c r="W361" s="7" t="s">
        <v>11</v>
      </c>
      <c r="X361" s="7" t="s">
        <v>861</v>
      </c>
    </row>
    <row r="362" spans="23:24">
      <c r="W362" s="7" t="s">
        <v>11</v>
      </c>
      <c r="X362" s="7" t="s">
        <v>862</v>
      </c>
    </row>
    <row r="363" spans="23:24">
      <c r="W363" s="7" t="s">
        <v>11</v>
      </c>
      <c r="X363" s="7" t="s">
        <v>863</v>
      </c>
    </row>
    <row r="364" spans="23:24">
      <c r="W364" s="7" t="s">
        <v>11</v>
      </c>
      <c r="X364" s="7" t="s">
        <v>864</v>
      </c>
    </row>
    <row r="365" spans="23:24">
      <c r="W365" s="7" t="s">
        <v>11</v>
      </c>
      <c r="X365" s="7" t="s">
        <v>865</v>
      </c>
    </row>
    <row r="366" spans="23:24">
      <c r="W366" s="7" t="s">
        <v>11</v>
      </c>
      <c r="X366" s="7" t="s">
        <v>866</v>
      </c>
    </row>
    <row r="367" spans="23:24">
      <c r="W367" s="7" t="s">
        <v>11</v>
      </c>
      <c r="X367" s="7" t="s">
        <v>867</v>
      </c>
    </row>
    <row r="368" spans="23:24">
      <c r="W368" s="7" t="s">
        <v>11</v>
      </c>
      <c r="X368" s="7" t="s">
        <v>868</v>
      </c>
    </row>
    <row r="369" spans="23:24">
      <c r="W369" s="7" t="s">
        <v>11</v>
      </c>
      <c r="X369" s="7" t="s">
        <v>869</v>
      </c>
    </row>
    <row r="370" spans="23:24">
      <c r="W370" s="7" t="s">
        <v>11</v>
      </c>
      <c r="X370" s="7" t="s">
        <v>870</v>
      </c>
    </row>
    <row r="371" spans="23:24">
      <c r="W371" s="7" t="s">
        <v>11</v>
      </c>
      <c r="X371" s="7" t="s">
        <v>871</v>
      </c>
    </row>
    <row r="372" spans="23:24">
      <c r="W372" s="7" t="s">
        <v>11</v>
      </c>
      <c r="X372" s="7" t="s">
        <v>872</v>
      </c>
    </row>
    <row r="373" spans="23:24">
      <c r="W373" s="7" t="s">
        <v>11</v>
      </c>
      <c r="X373" s="7" t="s">
        <v>873</v>
      </c>
    </row>
    <row r="374" spans="23:24">
      <c r="W374" s="7" t="s">
        <v>11</v>
      </c>
      <c r="X374" s="7" t="s">
        <v>874</v>
      </c>
    </row>
    <row r="375" spans="23:24">
      <c r="W375" s="7" t="s">
        <v>11</v>
      </c>
      <c r="X375" s="7" t="s">
        <v>875</v>
      </c>
    </row>
    <row r="376" spans="23:24">
      <c r="W376" s="7" t="s">
        <v>11</v>
      </c>
      <c r="X376" s="7" t="s">
        <v>876</v>
      </c>
    </row>
    <row r="377" spans="23:24">
      <c r="W377" s="7" t="s">
        <v>11</v>
      </c>
      <c r="X377" s="7" t="s">
        <v>877</v>
      </c>
    </row>
    <row r="378" spans="23:24">
      <c r="W378" s="7" t="s">
        <v>11</v>
      </c>
      <c r="X378" s="7" t="s">
        <v>878</v>
      </c>
    </row>
    <row r="379" spans="23:24">
      <c r="W379" s="7" t="s">
        <v>11</v>
      </c>
      <c r="X379" s="7" t="s">
        <v>879</v>
      </c>
    </row>
    <row r="380" spans="23:24">
      <c r="W380" s="7" t="s">
        <v>11</v>
      </c>
      <c r="X380" s="7" t="s">
        <v>880</v>
      </c>
    </row>
    <row r="381" spans="23:24">
      <c r="W381" s="7" t="s">
        <v>11</v>
      </c>
      <c r="X381" s="7" t="s">
        <v>881</v>
      </c>
    </row>
    <row r="382" spans="23:24">
      <c r="W382" s="7" t="s">
        <v>11</v>
      </c>
      <c r="X382" s="7" t="s">
        <v>882</v>
      </c>
    </row>
    <row r="383" spans="23:24">
      <c r="W383" s="7" t="s">
        <v>11</v>
      </c>
      <c r="X383" s="7" t="s">
        <v>883</v>
      </c>
    </row>
    <row r="384" spans="23:24">
      <c r="W384" s="7" t="s">
        <v>11</v>
      </c>
      <c r="X384" s="7" t="s">
        <v>884</v>
      </c>
    </row>
    <row r="385" spans="23:24">
      <c r="W385" s="7" t="s">
        <v>11</v>
      </c>
      <c r="X385" s="7" t="s">
        <v>885</v>
      </c>
    </row>
    <row r="386" spans="23:24">
      <c r="W386" s="7" t="s">
        <v>11</v>
      </c>
      <c r="X386" s="7" t="s">
        <v>886</v>
      </c>
    </row>
    <row r="387" spans="23:24">
      <c r="W387" s="7" t="s">
        <v>11</v>
      </c>
      <c r="X387" s="7" t="s">
        <v>887</v>
      </c>
    </row>
    <row r="388" spans="23:24">
      <c r="W388" s="7" t="s">
        <v>11</v>
      </c>
      <c r="X388" s="7" t="s">
        <v>888</v>
      </c>
    </row>
    <row r="389" spans="23:24">
      <c r="W389" s="7" t="s">
        <v>11</v>
      </c>
      <c r="X389" s="7" t="s">
        <v>889</v>
      </c>
    </row>
    <row r="390" spans="23:24">
      <c r="W390" s="7" t="s">
        <v>11</v>
      </c>
      <c r="X390" s="7" t="s">
        <v>890</v>
      </c>
    </row>
    <row r="391" spans="23:24">
      <c r="W391" s="7" t="s">
        <v>11</v>
      </c>
      <c r="X391" s="7" t="s">
        <v>891</v>
      </c>
    </row>
    <row r="392" spans="23:24">
      <c r="W392" s="7" t="s">
        <v>11</v>
      </c>
      <c r="X392" s="7" t="s">
        <v>892</v>
      </c>
    </row>
    <row r="393" spans="23:24">
      <c r="W393" s="7" t="s">
        <v>11</v>
      </c>
      <c r="X393" s="7" t="s">
        <v>893</v>
      </c>
    </row>
    <row r="394" spans="23:24">
      <c r="W394" s="7" t="s">
        <v>11</v>
      </c>
      <c r="X394" s="7" t="s">
        <v>894</v>
      </c>
    </row>
    <row r="395" spans="23:24">
      <c r="W395" s="7" t="s">
        <v>11</v>
      </c>
      <c r="X395" s="7" t="s">
        <v>895</v>
      </c>
    </row>
    <row r="396" spans="23:24">
      <c r="W396" s="7" t="s">
        <v>11</v>
      </c>
      <c r="X396" s="7" t="s">
        <v>896</v>
      </c>
    </row>
    <row r="397" spans="23:24">
      <c r="W397" s="7" t="s">
        <v>11</v>
      </c>
      <c r="X397" s="7" t="s">
        <v>897</v>
      </c>
    </row>
    <row r="398" spans="23:24">
      <c r="W398" s="7" t="s">
        <v>11</v>
      </c>
      <c r="X398" s="7" t="s">
        <v>898</v>
      </c>
    </row>
    <row r="399" spans="23:24">
      <c r="W399" s="7" t="s">
        <v>11</v>
      </c>
      <c r="X399" s="7" t="s">
        <v>899</v>
      </c>
    </row>
    <row r="400" spans="23:24">
      <c r="W400" s="7" t="s">
        <v>11</v>
      </c>
      <c r="X400" s="7" t="s">
        <v>900</v>
      </c>
    </row>
    <row r="401" spans="23:24">
      <c r="W401" s="7" t="s">
        <v>11</v>
      </c>
      <c r="X401" s="7" t="s">
        <v>901</v>
      </c>
    </row>
    <row r="402" spans="23:24">
      <c r="W402" s="7" t="s">
        <v>11</v>
      </c>
      <c r="X402" s="7" t="s">
        <v>902</v>
      </c>
    </row>
    <row r="403" spans="23:24">
      <c r="W403" s="7" t="s">
        <v>11</v>
      </c>
      <c r="X403" s="7" t="s">
        <v>903</v>
      </c>
    </row>
    <row r="404" spans="23:24">
      <c r="W404" s="7" t="s">
        <v>11</v>
      </c>
      <c r="X404" s="7" t="s">
        <v>904</v>
      </c>
    </row>
    <row r="405" spans="23:24">
      <c r="W405" s="7" t="s">
        <v>11</v>
      </c>
      <c r="X405" s="7" t="s">
        <v>905</v>
      </c>
    </row>
    <row r="406" spans="23:24">
      <c r="W406" s="7" t="s">
        <v>11</v>
      </c>
      <c r="X406" s="7" t="s">
        <v>906</v>
      </c>
    </row>
    <row r="407" spans="23:24">
      <c r="W407" s="7" t="s">
        <v>11</v>
      </c>
      <c r="X407" s="7" t="s">
        <v>907</v>
      </c>
    </row>
    <row r="408" spans="23:24">
      <c r="W408" s="7" t="s">
        <v>11</v>
      </c>
      <c r="X408" s="7" t="s">
        <v>908</v>
      </c>
    </row>
    <row r="409" spans="23:24">
      <c r="W409" s="7" t="s">
        <v>11</v>
      </c>
      <c r="X409" s="7" t="s">
        <v>909</v>
      </c>
    </row>
    <row r="410" spans="23:24">
      <c r="W410" s="7" t="s">
        <v>11</v>
      </c>
      <c r="X410" s="7" t="s">
        <v>910</v>
      </c>
    </row>
    <row r="411" spans="23:24">
      <c r="W411" s="7" t="s">
        <v>11</v>
      </c>
      <c r="X411" s="7" t="s">
        <v>911</v>
      </c>
    </row>
    <row r="412" spans="23:24">
      <c r="W412" s="7" t="s">
        <v>11</v>
      </c>
      <c r="X412" s="7" t="s">
        <v>912</v>
      </c>
    </row>
    <row r="413" spans="23:24">
      <c r="W413" s="7" t="s">
        <v>11</v>
      </c>
      <c r="X413" s="7" t="s">
        <v>913</v>
      </c>
    </row>
    <row r="414" spans="23:24">
      <c r="W414" s="7" t="s">
        <v>11</v>
      </c>
      <c r="X414" s="7" t="s">
        <v>914</v>
      </c>
    </row>
    <row r="415" spans="23:24">
      <c r="W415" s="7" t="s">
        <v>11</v>
      </c>
      <c r="X415" s="7" t="s">
        <v>915</v>
      </c>
    </row>
    <row r="416" spans="23:24">
      <c r="W416" s="7" t="s">
        <v>11</v>
      </c>
      <c r="X416" s="7" t="s">
        <v>916</v>
      </c>
    </row>
    <row r="417" spans="23:24">
      <c r="W417" s="7" t="s">
        <v>11</v>
      </c>
      <c r="X417" s="7" t="s">
        <v>917</v>
      </c>
    </row>
    <row r="418" spans="23:24">
      <c r="W418" s="7" t="s">
        <v>11</v>
      </c>
      <c r="X418" s="7" t="s">
        <v>918</v>
      </c>
    </row>
    <row r="419" spans="23:24">
      <c r="W419" s="7" t="s">
        <v>11</v>
      </c>
      <c r="X419" s="7" t="s">
        <v>919</v>
      </c>
    </row>
    <row r="420" spans="23:24">
      <c r="W420" s="7" t="s">
        <v>11</v>
      </c>
      <c r="X420" s="7" t="s">
        <v>920</v>
      </c>
    </row>
    <row r="421" spans="23:24">
      <c r="W421" s="7" t="s">
        <v>11</v>
      </c>
      <c r="X421" s="7" t="s">
        <v>921</v>
      </c>
    </row>
    <row r="422" spans="23:24">
      <c r="W422" s="7" t="s">
        <v>11</v>
      </c>
      <c r="X422" s="7" t="s">
        <v>922</v>
      </c>
    </row>
    <row r="423" spans="23:24">
      <c r="W423" s="7" t="s">
        <v>11</v>
      </c>
      <c r="X423" s="7" t="s">
        <v>923</v>
      </c>
    </row>
    <row r="424" spans="23:24">
      <c r="W424" s="7" t="s">
        <v>11</v>
      </c>
      <c r="X424" s="7" t="s">
        <v>924</v>
      </c>
    </row>
    <row r="425" spans="23:24">
      <c r="W425" s="7" t="s">
        <v>11</v>
      </c>
      <c r="X425" s="7" t="s">
        <v>925</v>
      </c>
    </row>
    <row r="426" spans="23:24">
      <c r="W426" s="7" t="s">
        <v>11</v>
      </c>
      <c r="X426" s="7" t="s">
        <v>926</v>
      </c>
    </row>
    <row r="427" spans="23:24">
      <c r="W427" s="7" t="s">
        <v>11</v>
      </c>
      <c r="X427" s="7" t="s">
        <v>927</v>
      </c>
    </row>
    <row r="428" spans="23:24">
      <c r="W428" s="7" t="s">
        <v>11</v>
      </c>
      <c r="X428" s="7" t="s">
        <v>928</v>
      </c>
    </row>
    <row r="429" spans="23:24">
      <c r="W429" s="7" t="s">
        <v>11</v>
      </c>
      <c r="X429" s="7" t="s">
        <v>929</v>
      </c>
    </row>
    <row r="430" spans="23:24">
      <c r="W430" s="7" t="s">
        <v>11</v>
      </c>
      <c r="X430" s="7" t="s">
        <v>930</v>
      </c>
    </row>
    <row r="431" spans="23:24">
      <c r="W431" s="7" t="s">
        <v>11</v>
      </c>
      <c r="X431" s="7" t="s">
        <v>931</v>
      </c>
    </row>
    <row r="432" spans="23:24">
      <c r="W432" s="7" t="s">
        <v>11</v>
      </c>
      <c r="X432" s="7" t="s">
        <v>932</v>
      </c>
    </row>
    <row r="433" spans="23:24">
      <c r="W433" s="7" t="s">
        <v>11</v>
      </c>
      <c r="X433" s="7" t="s">
        <v>933</v>
      </c>
    </row>
    <row r="434" spans="23:24">
      <c r="W434" s="7" t="s">
        <v>11</v>
      </c>
      <c r="X434" s="7" t="s">
        <v>934</v>
      </c>
    </row>
    <row r="435" spans="23:24">
      <c r="W435" s="7" t="s">
        <v>11</v>
      </c>
      <c r="X435" s="7" t="s">
        <v>935</v>
      </c>
    </row>
    <row r="436" spans="23:24">
      <c r="W436" s="7" t="s">
        <v>11</v>
      </c>
      <c r="X436" s="7" t="s">
        <v>936</v>
      </c>
    </row>
    <row r="437" spans="23:24">
      <c r="W437" s="7" t="s">
        <v>11</v>
      </c>
      <c r="X437" s="7" t="s">
        <v>937</v>
      </c>
    </row>
    <row r="438" spans="23:24">
      <c r="W438" s="7" t="s">
        <v>11</v>
      </c>
      <c r="X438" s="7" t="s">
        <v>938</v>
      </c>
    </row>
    <row r="439" spans="23:24">
      <c r="W439" s="7" t="s">
        <v>11</v>
      </c>
      <c r="X439" s="7" t="s">
        <v>939</v>
      </c>
    </row>
    <row r="440" spans="23:24">
      <c r="W440" s="7" t="s">
        <v>11</v>
      </c>
      <c r="X440" s="7" t="s">
        <v>940</v>
      </c>
    </row>
    <row r="441" spans="23:24">
      <c r="W441" s="7" t="s">
        <v>11</v>
      </c>
      <c r="X441" s="7" t="s">
        <v>941</v>
      </c>
    </row>
    <row r="442" spans="23:24">
      <c r="W442" s="7" t="s">
        <v>11</v>
      </c>
      <c r="X442" s="7" t="s">
        <v>942</v>
      </c>
    </row>
    <row r="443" spans="23:24">
      <c r="W443" s="7" t="s">
        <v>11</v>
      </c>
      <c r="X443" s="7" t="s">
        <v>943</v>
      </c>
    </row>
    <row r="444" spans="23:24">
      <c r="W444" s="7" t="s">
        <v>11</v>
      </c>
      <c r="X444" s="7" t="s">
        <v>944</v>
      </c>
    </row>
    <row r="445" spans="23:24">
      <c r="W445" s="7" t="s">
        <v>11</v>
      </c>
      <c r="X445" s="7" t="s">
        <v>945</v>
      </c>
    </row>
    <row r="446" spans="23:24">
      <c r="W446" s="7" t="s">
        <v>11</v>
      </c>
      <c r="X446" s="7" t="s">
        <v>946</v>
      </c>
    </row>
    <row r="447" spans="23:24">
      <c r="W447" s="7" t="s">
        <v>11</v>
      </c>
      <c r="X447" s="7" t="s">
        <v>947</v>
      </c>
    </row>
    <row r="448" spans="23:24">
      <c r="W448" s="7" t="s">
        <v>11</v>
      </c>
      <c r="X448" s="7" t="s">
        <v>948</v>
      </c>
    </row>
    <row r="449" spans="23:24">
      <c r="W449" s="7" t="s">
        <v>11</v>
      </c>
      <c r="X449" s="7" t="s">
        <v>949</v>
      </c>
    </row>
    <row r="450" spans="23:24">
      <c r="W450" s="7" t="s">
        <v>11</v>
      </c>
      <c r="X450" s="7" t="s">
        <v>950</v>
      </c>
    </row>
    <row r="451" spans="23:24">
      <c r="W451" s="7" t="s">
        <v>11</v>
      </c>
      <c r="X451" s="7" t="s">
        <v>951</v>
      </c>
    </row>
    <row r="452" spans="23:24">
      <c r="W452" s="7" t="s">
        <v>11</v>
      </c>
      <c r="X452" s="7" t="s">
        <v>952</v>
      </c>
    </row>
    <row r="453" spans="23:24">
      <c r="W453" s="7" t="s">
        <v>11</v>
      </c>
      <c r="X453" s="7" t="s">
        <v>953</v>
      </c>
    </row>
    <row r="454" spans="23:24">
      <c r="W454" s="7" t="s">
        <v>11</v>
      </c>
      <c r="X454" s="7" t="s">
        <v>954</v>
      </c>
    </row>
    <row r="455" spans="23:24">
      <c r="W455" s="7" t="s">
        <v>11</v>
      </c>
      <c r="X455" s="7" t="s">
        <v>955</v>
      </c>
    </row>
    <row r="456" spans="23:24">
      <c r="W456" s="7" t="s">
        <v>11</v>
      </c>
      <c r="X456" s="7" t="s">
        <v>956</v>
      </c>
    </row>
    <row r="457" spans="23:24">
      <c r="W457" s="7" t="s">
        <v>11</v>
      </c>
      <c r="X457" s="7" t="s">
        <v>957</v>
      </c>
    </row>
    <row r="458" spans="23:24">
      <c r="W458" s="7" t="s">
        <v>11</v>
      </c>
      <c r="X458" s="7" t="s">
        <v>958</v>
      </c>
    </row>
    <row r="459" spans="23:24">
      <c r="W459" s="7" t="s">
        <v>11</v>
      </c>
      <c r="X459" s="7" t="s">
        <v>959</v>
      </c>
    </row>
    <row r="460" spans="23:24">
      <c r="W460" s="7" t="s">
        <v>11</v>
      </c>
      <c r="X460" s="7" t="s">
        <v>960</v>
      </c>
    </row>
    <row r="461" spans="23:24">
      <c r="W461" s="7" t="s">
        <v>11</v>
      </c>
      <c r="X461" s="7" t="s">
        <v>961</v>
      </c>
    </row>
    <row r="462" spans="23:24">
      <c r="W462" s="7" t="s">
        <v>11</v>
      </c>
      <c r="X462" s="7" t="s">
        <v>962</v>
      </c>
    </row>
    <row r="463" spans="23:24">
      <c r="W463" s="7" t="s">
        <v>11</v>
      </c>
      <c r="X463" s="7" t="s">
        <v>963</v>
      </c>
    </row>
    <row r="464" spans="23:24">
      <c r="W464" s="7" t="s">
        <v>11</v>
      </c>
      <c r="X464" s="7" t="s">
        <v>964</v>
      </c>
    </row>
    <row r="465" spans="23:24">
      <c r="W465" s="7" t="s">
        <v>11</v>
      </c>
      <c r="X465" s="7" t="s">
        <v>965</v>
      </c>
    </row>
    <row r="466" spans="23:24">
      <c r="W466" s="7" t="s">
        <v>11</v>
      </c>
      <c r="X466" s="7" t="s">
        <v>966</v>
      </c>
    </row>
    <row r="467" spans="23:24">
      <c r="W467" s="7" t="s">
        <v>11</v>
      </c>
      <c r="X467" s="7" t="s">
        <v>967</v>
      </c>
    </row>
    <row r="468" spans="23:24">
      <c r="W468" s="7" t="s">
        <v>11</v>
      </c>
      <c r="X468" s="7" t="s">
        <v>968</v>
      </c>
    </row>
    <row r="469" spans="23:24">
      <c r="W469" s="7" t="s">
        <v>11</v>
      </c>
      <c r="X469" s="7" t="s">
        <v>969</v>
      </c>
    </row>
    <row r="470" spans="23:24">
      <c r="W470" s="7" t="s">
        <v>11</v>
      </c>
      <c r="X470" s="7" t="s">
        <v>970</v>
      </c>
    </row>
    <row r="471" spans="23:24">
      <c r="W471" s="7" t="s">
        <v>11</v>
      </c>
      <c r="X471" s="7" t="s">
        <v>971</v>
      </c>
    </row>
    <row r="472" spans="23:24">
      <c r="W472" s="7" t="s">
        <v>11</v>
      </c>
      <c r="X472" s="7" t="s">
        <v>972</v>
      </c>
    </row>
    <row r="473" spans="23:24">
      <c r="W473" s="7" t="s">
        <v>11</v>
      </c>
      <c r="X473" s="7" t="s">
        <v>973</v>
      </c>
    </row>
    <row r="474" spans="23:24">
      <c r="W474" s="7" t="s">
        <v>11</v>
      </c>
      <c r="X474" s="7" t="s">
        <v>974</v>
      </c>
    </row>
    <row r="475" spans="23:24">
      <c r="W475" s="7" t="s">
        <v>11</v>
      </c>
      <c r="X475" s="7" t="s">
        <v>975</v>
      </c>
    </row>
    <row r="476" spans="23:24">
      <c r="W476" s="7" t="s">
        <v>11</v>
      </c>
      <c r="X476" s="7" t="s">
        <v>976</v>
      </c>
    </row>
    <row r="477" spans="23:24">
      <c r="W477" s="7" t="s">
        <v>11</v>
      </c>
      <c r="X477" s="7" t="s">
        <v>977</v>
      </c>
    </row>
    <row r="478" spans="23:24">
      <c r="W478" s="7" t="s">
        <v>11</v>
      </c>
      <c r="X478" s="7" t="s">
        <v>978</v>
      </c>
    </row>
    <row r="479" spans="23:24">
      <c r="W479" s="7" t="s">
        <v>11</v>
      </c>
      <c r="X479" s="7" t="s">
        <v>979</v>
      </c>
    </row>
    <row r="480" spans="23:24">
      <c r="W480" s="7" t="s">
        <v>11</v>
      </c>
      <c r="X480" s="7" t="s">
        <v>980</v>
      </c>
    </row>
    <row r="481" spans="23:24">
      <c r="W481" s="7" t="s">
        <v>11</v>
      </c>
      <c r="X481" s="7" t="s">
        <v>981</v>
      </c>
    </row>
    <row r="482" spans="23:24">
      <c r="W482" s="7" t="s">
        <v>11</v>
      </c>
      <c r="X482" s="7" t="s">
        <v>982</v>
      </c>
    </row>
    <row r="483" spans="23:24">
      <c r="W483" s="7" t="s">
        <v>11</v>
      </c>
      <c r="X483" s="7" t="s">
        <v>983</v>
      </c>
    </row>
    <row r="484" spans="23:24">
      <c r="W484" s="7" t="s">
        <v>11</v>
      </c>
      <c r="X484" s="7" t="s">
        <v>984</v>
      </c>
    </row>
    <row r="485" spans="23:24">
      <c r="W485" s="7" t="s">
        <v>11</v>
      </c>
      <c r="X485" s="7" t="s">
        <v>985</v>
      </c>
    </row>
    <row r="486" spans="23:24">
      <c r="W486" s="7" t="s">
        <v>11</v>
      </c>
      <c r="X486" s="7" t="s">
        <v>986</v>
      </c>
    </row>
    <row r="487" spans="23:24">
      <c r="W487" s="7" t="s">
        <v>11</v>
      </c>
      <c r="X487" s="7" t="s">
        <v>987</v>
      </c>
    </row>
    <row r="488" spans="23:24">
      <c r="W488" s="7" t="s">
        <v>11</v>
      </c>
      <c r="X488" s="7" t="s">
        <v>988</v>
      </c>
    </row>
    <row r="489" spans="23:24">
      <c r="W489" s="7" t="s">
        <v>11</v>
      </c>
      <c r="X489" s="7" t="s">
        <v>989</v>
      </c>
    </row>
    <row r="490" spans="23:24">
      <c r="W490" s="7" t="s">
        <v>11</v>
      </c>
      <c r="X490" s="7" t="s">
        <v>990</v>
      </c>
    </row>
    <row r="491" spans="23:24">
      <c r="W491" s="7" t="s">
        <v>11</v>
      </c>
      <c r="X491" s="7" t="s">
        <v>991</v>
      </c>
    </row>
    <row r="492" spans="23:24">
      <c r="W492" s="7" t="s">
        <v>11</v>
      </c>
      <c r="X492" s="7" t="s">
        <v>992</v>
      </c>
    </row>
    <row r="493" spans="23:24">
      <c r="W493" s="7" t="s">
        <v>11</v>
      </c>
      <c r="X493" s="7" t="s">
        <v>993</v>
      </c>
    </row>
    <row r="494" spans="23:24">
      <c r="W494" s="7" t="s">
        <v>11</v>
      </c>
      <c r="X494" s="7" t="s">
        <v>994</v>
      </c>
    </row>
    <row r="495" spans="23:24">
      <c r="W495" s="7" t="s">
        <v>11</v>
      </c>
      <c r="X495" s="7" t="s">
        <v>995</v>
      </c>
    </row>
    <row r="496" spans="23:24">
      <c r="W496" s="7" t="s">
        <v>11</v>
      </c>
      <c r="X496" s="7" t="s">
        <v>996</v>
      </c>
    </row>
    <row r="497" spans="23:24">
      <c r="W497" s="7" t="s">
        <v>11</v>
      </c>
      <c r="X497" s="7" t="s">
        <v>997</v>
      </c>
    </row>
    <row r="498" spans="23:24">
      <c r="W498" s="7" t="s">
        <v>11</v>
      </c>
      <c r="X498" s="7" t="s">
        <v>998</v>
      </c>
    </row>
    <row r="499" spans="23:24">
      <c r="W499" s="7" t="s">
        <v>11</v>
      </c>
      <c r="X499" s="7" t="s">
        <v>999</v>
      </c>
    </row>
    <row r="500" spans="23:24">
      <c r="W500" s="7" t="s">
        <v>11</v>
      </c>
      <c r="X500" s="7" t="s">
        <v>1000</v>
      </c>
    </row>
    <row r="501" spans="23:24">
      <c r="W501" s="7" t="s">
        <v>11</v>
      </c>
      <c r="X501" s="7" t="s">
        <v>1001</v>
      </c>
    </row>
    <row r="502" spans="23:24">
      <c r="W502" s="7" t="s">
        <v>11</v>
      </c>
      <c r="X502" s="7" t="s">
        <v>1002</v>
      </c>
    </row>
    <row r="503" spans="23:24">
      <c r="W503" s="7" t="s">
        <v>11</v>
      </c>
      <c r="X503" s="7" t="s">
        <v>1003</v>
      </c>
    </row>
    <row r="504" spans="23:24">
      <c r="W504" s="7" t="s">
        <v>11</v>
      </c>
      <c r="X504" s="7" t="s">
        <v>1004</v>
      </c>
    </row>
    <row r="505" spans="23:24">
      <c r="W505" s="7" t="s">
        <v>11</v>
      </c>
      <c r="X505" s="7" t="s">
        <v>1005</v>
      </c>
    </row>
    <row r="506" spans="23:24">
      <c r="W506" s="7" t="s">
        <v>11</v>
      </c>
      <c r="X506" s="7" t="s">
        <v>1006</v>
      </c>
    </row>
    <row r="507" spans="23:24">
      <c r="W507" s="7" t="s">
        <v>11</v>
      </c>
      <c r="X507" s="7" t="s">
        <v>1007</v>
      </c>
    </row>
    <row r="508" spans="23:24">
      <c r="W508" s="7" t="s">
        <v>11</v>
      </c>
      <c r="X508" s="7" t="s">
        <v>1008</v>
      </c>
    </row>
    <row r="509" spans="23:24">
      <c r="W509" s="7" t="s">
        <v>11</v>
      </c>
      <c r="X509" s="7" t="s">
        <v>1009</v>
      </c>
    </row>
    <row r="510" spans="23:24">
      <c r="W510" s="7" t="s">
        <v>11</v>
      </c>
      <c r="X510" s="7" t="s">
        <v>1010</v>
      </c>
    </row>
    <row r="511" spans="23:24">
      <c r="W511" s="7" t="s">
        <v>11</v>
      </c>
      <c r="X511" s="7" t="s">
        <v>1011</v>
      </c>
    </row>
    <row r="512" spans="23:24">
      <c r="W512" s="7" t="s">
        <v>11</v>
      </c>
      <c r="X512" s="7" t="s">
        <v>1012</v>
      </c>
    </row>
    <row r="513" spans="23:24">
      <c r="W513" s="7" t="s">
        <v>11</v>
      </c>
      <c r="X513" s="7" t="s">
        <v>1013</v>
      </c>
    </row>
    <row r="514" spans="23:24">
      <c r="W514" s="7" t="s">
        <v>11</v>
      </c>
      <c r="X514" s="7" t="s">
        <v>1014</v>
      </c>
    </row>
    <row r="515" spans="23:24">
      <c r="W515" s="7" t="s">
        <v>11</v>
      </c>
      <c r="X515" s="7" t="s">
        <v>1015</v>
      </c>
    </row>
    <row r="516" spans="23:24">
      <c r="W516" s="7" t="s">
        <v>11</v>
      </c>
      <c r="X516" s="7" t="s">
        <v>1016</v>
      </c>
    </row>
    <row r="517" spans="23:24">
      <c r="W517" s="7" t="s">
        <v>11</v>
      </c>
      <c r="X517" s="7" t="s">
        <v>1017</v>
      </c>
    </row>
    <row r="518" spans="23:24">
      <c r="W518" s="7" t="s">
        <v>11</v>
      </c>
      <c r="X518" s="7" t="s">
        <v>1018</v>
      </c>
    </row>
    <row r="519" spans="23:24">
      <c r="W519" s="7" t="s">
        <v>11</v>
      </c>
      <c r="X519" s="7" t="s">
        <v>1019</v>
      </c>
    </row>
    <row r="520" spans="23:24">
      <c r="W520" s="7" t="s">
        <v>11</v>
      </c>
      <c r="X520" s="7" t="s">
        <v>1020</v>
      </c>
    </row>
    <row r="521" spans="23:24">
      <c r="W521" s="7" t="s">
        <v>11</v>
      </c>
      <c r="X521" s="7" t="s">
        <v>1021</v>
      </c>
    </row>
    <row r="522" spans="23:24">
      <c r="W522" s="7" t="s">
        <v>11</v>
      </c>
      <c r="X522" s="7" t="s">
        <v>1022</v>
      </c>
    </row>
    <row r="523" spans="23:24">
      <c r="W523" s="7" t="s">
        <v>11</v>
      </c>
      <c r="X523" s="7" t="s">
        <v>1023</v>
      </c>
    </row>
    <row r="524" spans="23:24">
      <c r="W524" s="7" t="s">
        <v>11</v>
      </c>
      <c r="X524" s="7" t="s">
        <v>1024</v>
      </c>
    </row>
    <row r="525" spans="23:24">
      <c r="W525" s="7" t="s">
        <v>11</v>
      </c>
      <c r="X525" s="7" t="s">
        <v>1025</v>
      </c>
    </row>
    <row r="526" spans="23:24">
      <c r="W526" s="7" t="s">
        <v>11</v>
      </c>
      <c r="X526" s="7" t="s">
        <v>1026</v>
      </c>
    </row>
    <row r="527" spans="23:24">
      <c r="W527" s="7" t="s">
        <v>11</v>
      </c>
      <c r="X527" s="7" t="s">
        <v>1027</v>
      </c>
    </row>
    <row r="528" spans="23:24">
      <c r="W528" s="7" t="s">
        <v>11</v>
      </c>
      <c r="X528" s="7" t="s">
        <v>1028</v>
      </c>
    </row>
    <row r="529" spans="23:24">
      <c r="W529" s="7" t="s">
        <v>11</v>
      </c>
      <c r="X529" s="7" t="s">
        <v>1029</v>
      </c>
    </row>
    <row r="530" spans="23:24">
      <c r="W530" s="7" t="s">
        <v>11</v>
      </c>
      <c r="X530" s="7" t="s">
        <v>1030</v>
      </c>
    </row>
    <row r="531" spans="23:24">
      <c r="W531" s="7" t="s">
        <v>11</v>
      </c>
      <c r="X531" s="7" t="s">
        <v>1031</v>
      </c>
    </row>
    <row r="532" spans="23:24">
      <c r="W532" s="7" t="s">
        <v>11</v>
      </c>
      <c r="X532" s="7" t="s">
        <v>1032</v>
      </c>
    </row>
    <row r="533" spans="23:24">
      <c r="W533" s="7" t="s">
        <v>11</v>
      </c>
      <c r="X533" s="7" t="s">
        <v>1033</v>
      </c>
    </row>
    <row r="534" spans="23:24">
      <c r="W534" s="7" t="s">
        <v>11</v>
      </c>
      <c r="X534" s="7" t="s">
        <v>1034</v>
      </c>
    </row>
    <row r="535" spans="23:24">
      <c r="W535" s="7" t="s">
        <v>11</v>
      </c>
      <c r="X535" s="7" t="s">
        <v>1035</v>
      </c>
    </row>
    <row r="536" spans="23:24">
      <c r="W536" s="7" t="s">
        <v>11</v>
      </c>
      <c r="X536" s="7" t="s">
        <v>1036</v>
      </c>
    </row>
    <row r="537" spans="23:24">
      <c r="W537" s="7" t="s">
        <v>11</v>
      </c>
      <c r="X537" s="7" t="s">
        <v>1037</v>
      </c>
    </row>
    <row r="538" spans="23:24">
      <c r="W538" s="7" t="s">
        <v>11</v>
      </c>
      <c r="X538" s="7" t="s">
        <v>1038</v>
      </c>
    </row>
    <row r="539" spans="23:24">
      <c r="W539" s="7" t="s">
        <v>11</v>
      </c>
      <c r="X539" s="7" t="s">
        <v>1039</v>
      </c>
    </row>
    <row r="540" spans="23:24">
      <c r="W540" s="7" t="s">
        <v>11</v>
      </c>
      <c r="X540" s="7" t="s">
        <v>1040</v>
      </c>
    </row>
    <row r="541" spans="23:24">
      <c r="W541" s="7" t="s">
        <v>11</v>
      </c>
      <c r="X541" s="7" t="s">
        <v>1041</v>
      </c>
    </row>
    <row r="542" spans="23:24">
      <c r="W542" s="7" t="s">
        <v>11</v>
      </c>
      <c r="X542" s="7" t="s">
        <v>1042</v>
      </c>
    </row>
    <row r="543" spans="23:24">
      <c r="W543" s="7" t="s">
        <v>11</v>
      </c>
      <c r="X543" s="7" t="s">
        <v>1043</v>
      </c>
    </row>
    <row r="544" spans="23:24">
      <c r="W544" s="7" t="s">
        <v>11</v>
      </c>
      <c r="X544" s="7" t="s">
        <v>1044</v>
      </c>
    </row>
    <row r="545" spans="23:24">
      <c r="W545" s="7" t="s">
        <v>11</v>
      </c>
      <c r="X545" s="7" t="s">
        <v>1045</v>
      </c>
    </row>
    <row r="546" spans="23:24">
      <c r="W546" s="7" t="s">
        <v>11</v>
      </c>
      <c r="X546" s="7" t="s">
        <v>1046</v>
      </c>
    </row>
    <row r="547" spans="23:24">
      <c r="W547" s="7" t="s">
        <v>11</v>
      </c>
      <c r="X547" s="7" t="s">
        <v>1047</v>
      </c>
    </row>
    <row r="548" spans="23:24">
      <c r="W548" s="7" t="s">
        <v>11</v>
      </c>
      <c r="X548" s="7" t="s">
        <v>1048</v>
      </c>
    </row>
    <row r="549" spans="23:24">
      <c r="W549" s="7" t="s">
        <v>11</v>
      </c>
      <c r="X549" s="7" t="s">
        <v>1049</v>
      </c>
    </row>
    <row r="550" spans="23:24">
      <c r="W550" s="7" t="s">
        <v>11</v>
      </c>
      <c r="X550" s="7" t="s">
        <v>1050</v>
      </c>
    </row>
    <row r="551" spans="23:24">
      <c r="W551" s="7" t="s">
        <v>11</v>
      </c>
      <c r="X551" s="7" t="s">
        <v>1051</v>
      </c>
    </row>
    <row r="552" spans="23:24">
      <c r="W552" s="7" t="s">
        <v>11</v>
      </c>
      <c r="X552" s="7" t="s">
        <v>1052</v>
      </c>
    </row>
    <row r="553" spans="23:24">
      <c r="W553" s="7" t="s">
        <v>11</v>
      </c>
      <c r="X553" s="7" t="s">
        <v>1053</v>
      </c>
    </row>
    <row r="554" spans="23:24">
      <c r="W554" s="7" t="s">
        <v>11</v>
      </c>
      <c r="X554" s="7" t="s">
        <v>1054</v>
      </c>
    </row>
    <row r="555" spans="23:24">
      <c r="W555" s="7" t="s">
        <v>11</v>
      </c>
      <c r="X555" s="7" t="s">
        <v>1055</v>
      </c>
    </row>
    <row r="556" spans="23:24">
      <c r="W556" s="7" t="s">
        <v>11</v>
      </c>
      <c r="X556" s="7" t="s">
        <v>1056</v>
      </c>
    </row>
    <row r="557" spans="23:24">
      <c r="W557" s="7" t="s">
        <v>11</v>
      </c>
      <c r="X557" s="7" t="s">
        <v>1057</v>
      </c>
    </row>
    <row r="558" spans="23:24">
      <c r="W558" s="7" t="s">
        <v>11</v>
      </c>
      <c r="X558" s="7" t="s">
        <v>1058</v>
      </c>
    </row>
    <row r="559" spans="23:24">
      <c r="W559" s="7" t="s">
        <v>11</v>
      </c>
      <c r="X559" s="7" t="s">
        <v>1059</v>
      </c>
    </row>
    <row r="560" spans="23:24">
      <c r="W560" s="7" t="s">
        <v>11</v>
      </c>
      <c r="X560" s="7" t="s">
        <v>1060</v>
      </c>
    </row>
    <row r="561" spans="23:24">
      <c r="W561" s="7" t="s">
        <v>11</v>
      </c>
      <c r="X561" s="7" t="s">
        <v>1061</v>
      </c>
    </row>
    <row r="562" spans="23:24">
      <c r="W562" s="7" t="s">
        <v>11</v>
      </c>
      <c r="X562" s="7" t="s">
        <v>1062</v>
      </c>
    </row>
    <row r="563" spans="23:24">
      <c r="W563" s="7" t="s">
        <v>11</v>
      </c>
      <c r="X563" s="7" t="s">
        <v>1063</v>
      </c>
    </row>
    <row r="564" spans="23:24">
      <c r="W564" s="7" t="s">
        <v>11</v>
      </c>
      <c r="X564" s="7" t="s">
        <v>1064</v>
      </c>
    </row>
    <row r="565" spans="23:24">
      <c r="W565" s="7" t="s">
        <v>11</v>
      </c>
      <c r="X565" s="7" t="s">
        <v>1065</v>
      </c>
    </row>
    <row r="566" spans="23:24">
      <c r="W566" s="7" t="s">
        <v>11</v>
      </c>
      <c r="X566" s="7" t="s">
        <v>1066</v>
      </c>
    </row>
    <row r="567" spans="23:24">
      <c r="W567" s="7" t="s">
        <v>11</v>
      </c>
      <c r="X567" s="7" t="s">
        <v>1067</v>
      </c>
    </row>
    <row r="568" spans="23:24">
      <c r="W568" s="7" t="s">
        <v>11</v>
      </c>
      <c r="X568" s="7" t="s">
        <v>1068</v>
      </c>
    </row>
    <row r="569" spans="23:24">
      <c r="W569" s="7" t="s">
        <v>11</v>
      </c>
      <c r="X569" s="7" t="s">
        <v>1069</v>
      </c>
    </row>
    <row r="570" spans="23:24">
      <c r="W570" s="7" t="s">
        <v>11</v>
      </c>
      <c r="X570" s="7" t="s">
        <v>1070</v>
      </c>
    </row>
    <row r="571" spans="23:24">
      <c r="W571" s="7" t="s">
        <v>11</v>
      </c>
      <c r="X571" s="7" t="s">
        <v>1071</v>
      </c>
    </row>
    <row r="572" spans="23:24">
      <c r="W572" s="7" t="s">
        <v>11</v>
      </c>
      <c r="X572" s="7" t="s">
        <v>1072</v>
      </c>
    </row>
    <row r="573" spans="23:24">
      <c r="W573" s="7" t="s">
        <v>11</v>
      </c>
      <c r="X573" s="7" t="s">
        <v>1073</v>
      </c>
    </row>
    <row r="574" spans="23:24">
      <c r="W574" s="7" t="s">
        <v>11</v>
      </c>
      <c r="X574" s="7" t="s">
        <v>1074</v>
      </c>
    </row>
    <row r="575" spans="23:24">
      <c r="W575" s="7" t="s">
        <v>11</v>
      </c>
      <c r="X575" s="7" t="s">
        <v>1075</v>
      </c>
    </row>
    <row r="576" spans="23:24">
      <c r="W576" s="7" t="s">
        <v>11</v>
      </c>
      <c r="X576" s="7" t="s">
        <v>1076</v>
      </c>
    </row>
    <row r="577" spans="23:24">
      <c r="W577" s="7" t="s">
        <v>11</v>
      </c>
      <c r="X577" s="7" t="s">
        <v>1077</v>
      </c>
    </row>
    <row r="578" spans="23:24">
      <c r="W578" s="7" t="s">
        <v>11</v>
      </c>
      <c r="X578" s="7" t="s">
        <v>1078</v>
      </c>
    </row>
    <row r="579" spans="23:24">
      <c r="W579" s="7" t="s">
        <v>11</v>
      </c>
      <c r="X579" s="7" t="s">
        <v>1079</v>
      </c>
    </row>
    <row r="580" spans="23:24">
      <c r="W580" s="7" t="s">
        <v>11</v>
      </c>
      <c r="X580" s="7" t="s">
        <v>1080</v>
      </c>
    </row>
    <row r="581" spans="23:24">
      <c r="W581" s="7" t="s">
        <v>11</v>
      </c>
      <c r="X581" s="7" t="s">
        <v>1081</v>
      </c>
    </row>
    <row r="582" spans="23:24">
      <c r="W582" s="7" t="s">
        <v>11</v>
      </c>
      <c r="X582" s="7" t="s">
        <v>1082</v>
      </c>
    </row>
    <row r="583" spans="23:24">
      <c r="W583" s="7" t="s">
        <v>11</v>
      </c>
      <c r="X583" s="7" t="s">
        <v>1083</v>
      </c>
    </row>
    <row r="584" spans="23:24">
      <c r="W584" s="7" t="s">
        <v>11</v>
      </c>
      <c r="X584" s="7" t="s">
        <v>1084</v>
      </c>
    </row>
    <row r="585" spans="23:24">
      <c r="W585" s="7" t="s">
        <v>11</v>
      </c>
      <c r="X585" s="7" t="s">
        <v>1085</v>
      </c>
    </row>
    <row r="586" spans="23:24">
      <c r="W586" s="7" t="s">
        <v>11</v>
      </c>
      <c r="X586" s="7" t="s">
        <v>1086</v>
      </c>
    </row>
    <row r="587" spans="23:24">
      <c r="W587" s="7" t="s">
        <v>11</v>
      </c>
      <c r="X587" s="7" t="s">
        <v>1087</v>
      </c>
    </row>
    <row r="588" spans="23:24">
      <c r="W588" s="7" t="s">
        <v>11</v>
      </c>
      <c r="X588" s="7" t="s">
        <v>1088</v>
      </c>
    </row>
    <row r="589" spans="23:24">
      <c r="W589" s="7" t="s">
        <v>11</v>
      </c>
      <c r="X589" s="7" t="s">
        <v>1089</v>
      </c>
    </row>
    <row r="590" spans="23:24">
      <c r="W590" s="7" t="s">
        <v>11</v>
      </c>
      <c r="X590" s="7" t="s">
        <v>1090</v>
      </c>
    </row>
    <row r="591" spans="23:24">
      <c r="W591" s="7" t="s">
        <v>11</v>
      </c>
      <c r="X591" s="7" t="s">
        <v>1091</v>
      </c>
    </row>
    <row r="592" spans="23:24">
      <c r="W592" s="7" t="s">
        <v>11</v>
      </c>
      <c r="X592" s="7" t="s">
        <v>1092</v>
      </c>
    </row>
    <row r="593" spans="23:24">
      <c r="W593" s="7" t="s">
        <v>11</v>
      </c>
      <c r="X593" s="7" t="s">
        <v>1093</v>
      </c>
    </row>
    <row r="594" spans="23:24">
      <c r="W594" s="7" t="s">
        <v>11</v>
      </c>
      <c r="X594" s="7" t="s">
        <v>1094</v>
      </c>
    </row>
    <row r="595" spans="23:24">
      <c r="W595" s="7" t="s">
        <v>11</v>
      </c>
      <c r="X595" s="7" t="s">
        <v>1095</v>
      </c>
    </row>
    <row r="596" spans="23:24">
      <c r="W596" s="7" t="s">
        <v>11</v>
      </c>
      <c r="X596" s="7" t="s">
        <v>1096</v>
      </c>
    </row>
    <row r="597" spans="23:24">
      <c r="W597" s="7" t="s">
        <v>11</v>
      </c>
      <c r="X597" s="7" t="s">
        <v>1097</v>
      </c>
    </row>
    <row r="598" spans="23:24">
      <c r="W598" s="7" t="s">
        <v>11</v>
      </c>
      <c r="X598" s="7" t="s">
        <v>1098</v>
      </c>
    </row>
    <row r="599" spans="23:24">
      <c r="W599" s="7" t="s">
        <v>11</v>
      </c>
      <c r="X599" s="7" t="s">
        <v>1099</v>
      </c>
    </row>
    <row r="600" spans="23:24">
      <c r="W600" s="7" t="s">
        <v>11</v>
      </c>
      <c r="X600" s="7" t="s">
        <v>1100</v>
      </c>
    </row>
    <row r="601" spans="23:24">
      <c r="W601" s="7" t="s">
        <v>11</v>
      </c>
      <c r="X601" s="7" t="s">
        <v>1101</v>
      </c>
    </row>
    <row r="602" spans="23:24">
      <c r="W602" s="7" t="s">
        <v>11</v>
      </c>
      <c r="X602" s="7" t="s">
        <v>1102</v>
      </c>
    </row>
    <row r="603" spans="23:24">
      <c r="W603" s="7" t="s">
        <v>11</v>
      </c>
      <c r="X603" s="7" t="s">
        <v>1103</v>
      </c>
    </row>
    <row r="604" spans="23:24">
      <c r="W604" s="7" t="s">
        <v>11</v>
      </c>
      <c r="X604" s="7" t="s">
        <v>1104</v>
      </c>
    </row>
    <row r="605" spans="23:24">
      <c r="W605" s="7" t="s">
        <v>11</v>
      </c>
      <c r="X605" s="7" t="s">
        <v>1105</v>
      </c>
    </row>
    <row r="606" spans="23:24">
      <c r="W606" s="7" t="s">
        <v>11</v>
      </c>
      <c r="X606" s="7" t="s">
        <v>1106</v>
      </c>
    </row>
    <row r="607" spans="23:24">
      <c r="W607" s="7" t="s">
        <v>11</v>
      </c>
      <c r="X607" s="7" t="s">
        <v>1107</v>
      </c>
    </row>
    <row r="608" spans="23:24">
      <c r="W608" s="7" t="s">
        <v>11</v>
      </c>
      <c r="X608" s="7" t="s">
        <v>1108</v>
      </c>
    </row>
    <row r="609" spans="23:24">
      <c r="W609" s="7" t="s">
        <v>11</v>
      </c>
      <c r="X609" s="7" t="s">
        <v>1109</v>
      </c>
    </row>
    <row r="610" spans="23:24">
      <c r="W610" s="7" t="s">
        <v>11</v>
      </c>
      <c r="X610" s="7" t="s">
        <v>1110</v>
      </c>
    </row>
    <row r="611" spans="23:24">
      <c r="W611" s="7" t="s">
        <v>11</v>
      </c>
      <c r="X611" s="7" t="s">
        <v>1111</v>
      </c>
    </row>
    <row r="612" spans="23:24">
      <c r="W612" s="7" t="s">
        <v>11</v>
      </c>
      <c r="X612" s="7" t="s">
        <v>1112</v>
      </c>
    </row>
    <row r="613" spans="23:24">
      <c r="W613" s="7" t="s">
        <v>11</v>
      </c>
      <c r="X613" s="7" t="s">
        <v>1113</v>
      </c>
    </row>
    <row r="614" spans="23:24">
      <c r="W614" s="7" t="s">
        <v>11</v>
      </c>
      <c r="X614" s="7" t="s">
        <v>1114</v>
      </c>
    </row>
    <row r="615" spans="23:24">
      <c r="W615" s="7" t="s">
        <v>11</v>
      </c>
      <c r="X615" s="7" t="s">
        <v>1115</v>
      </c>
    </row>
    <row r="616" spans="23:24">
      <c r="W616" s="7" t="s">
        <v>11</v>
      </c>
      <c r="X616" s="7" t="s">
        <v>1116</v>
      </c>
    </row>
    <row r="617" spans="23:24">
      <c r="W617" s="7" t="s">
        <v>11</v>
      </c>
      <c r="X617" s="7" t="s">
        <v>1117</v>
      </c>
    </row>
    <row r="618" spans="23:24">
      <c r="W618" s="7" t="s">
        <v>11</v>
      </c>
      <c r="X618" s="7" t="s">
        <v>1118</v>
      </c>
    </row>
    <row r="619" spans="23:24">
      <c r="W619" s="7" t="s">
        <v>11</v>
      </c>
      <c r="X619" s="7" t="s">
        <v>1119</v>
      </c>
    </row>
    <row r="620" spans="23:24">
      <c r="W620" s="7" t="s">
        <v>11</v>
      </c>
      <c r="X620" s="7" t="s">
        <v>1120</v>
      </c>
    </row>
    <row r="621" spans="23:24">
      <c r="W621" s="7" t="s">
        <v>11</v>
      </c>
      <c r="X621" s="7" t="s">
        <v>1121</v>
      </c>
    </row>
    <row r="622" spans="23:24">
      <c r="W622" s="7" t="s">
        <v>11</v>
      </c>
      <c r="X622" s="7" t="s">
        <v>1122</v>
      </c>
    </row>
    <row r="623" spans="23:24">
      <c r="W623" s="7" t="s">
        <v>11</v>
      </c>
      <c r="X623" s="7" t="s">
        <v>1123</v>
      </c>
    </row>
    <row r="624" spans="23:24">
      <c r="W624" s="7" t="s">
        <v>11</v>
      </c>
      <c r="X624" s="7" t="s">
        <v>1124</v>
      </c>
    </row>
    <row r="625" spans="23:24">
      <c r="W625" s="7" t="s">
        <v>11</v>
      </c>
      <c r="X625" s="7" t="s">
        <v>1125</v>
      </c>
    </row>
    <row r="626" spans="23:24">
      <c r="W626" s="7" t="s">
        <v>11</v>
      </c>
      <c r="X626" s="7" t="s">
        <v>1126</v>
      </c>
    </row>
    <row r="627" spans="23:24">
      <c r="W627" s="7" t="s">
        <v>11</v>
      </c>
      <c r="X627" s="7" t="s">
        <v>1127</v>
      </c>
    </row>
    <row r="628" spans="23:24">
      <c r="W628" s="7" t="s">
        <v>11</v>
      </c>
      <c r="X628" s="7" t="s">
        <v>1128</v>
      </c>
    </row>
    <row r="629" spans="23:24">
      <c r="W629" s="7" t="s">
        <v>11</v>
      </c>
      <c r="X629" s="7" t="s">
        <v>1129</v>
      </c>
    </row>
    <row r="630" spans="23:24">
      <c r="W630" s="7" t="s">
        <v>11</v>
      </c>
      <c r="X630" s="7" t="s">
        <v>1130</v>
      </c>
    </row>
    <row r="631" spans="23:24">
      <c r="W631" s="7" t="s">
        <v>11</v>
      </c>
      <c r="X631" s="7" t="s">
        <v>1131</v>
      </c>
    </row>
    <row r="632" spans="23:24">
      <c r="W632" s="7" t="s">
        <v>11</v>
      </c>
      <c r="X632" s="7" t="s">
        <v>1132</v>
      </c>
    </row>
    <row r="633" spans="23:24">
      <c r="W633" s="7" t="s">
        <v>11</v>
      </c>
      <c r="X633" s="7" t="s">
        <v>1133</v>
      </c>
    </row>
    <row r="634" spans="23:24">
      <c r="W634" s="7" t="s">
        <v>11</v>
      </c>
      <c r="X634" s="7" t="s">
        <v>1134</v>
      </c>
    </row>
    <row r="635" spans="23:24">
      <c r="W635" s="7" t="s">
        <v>11</v>
      </c>
      <c r="X635" s="7" t="s">
        <v>1135</v>
      </c>
    </row>
    <row r="636" spans="23:24">
      <c r="W636" s="7" t="s">
        <v>11</v>
      </c>
      <c r="X636" s="7" t="s">
        <v>1136</v>
      </c>
    </row>
    <row r="637" spans="23:24">
      <c r="W637" s="7" t="s">
        <v>11</v>
      </c>
      <c r="X637" s="7" t="s">
        <v>1137</v>
      </c>
    </row>
    <row r="638" spans="23:24">
      <c r="W638" s="7" t="s">
        <v>11</v>
      </c>
      <c r="X638" s="7" t="s">
        <v>1138</v>
      </c>
    </row>
    <row r="639" spans="23:24">
      <c r="W639" s="7" t="s">
        <v>11</v>
      </c>
      <c r="X639" s="7" t="s">
        <v>1139</v>
      </c>
    </row>
    <row r="640" spans="23:24">
      <c r="W640" s="7" t="s">
        <v>11</v>
      </c>
      <c r="X640" s="7" t="s">
        <v>1140</v>
      </c>
    </row>
    <row r="641" spans="23:24">
      <c r="W641" s="7" t="s">
        <v>11</v>
      </c>
      <c r="X641" s="7" t="s">
        <v>1141</v>
      </c>
    </row>
    <row r="642" spans="23:24">
      <c r="W642" s="7" t="s">
        <v>11</v>
      </c>
      <c r="X642" s="7" t="s">
        <v>1142</v>
      </c>
    </row>
    <row r="643" spans="23:24">
      <c r="W643" s="7" t="s">
        <v>11</v>
      </c>
      <c r="X643" s="7" t="s">
        <v>1143</v>
      </c>
    </row>
    <row r="644" spans="23:24">
      <c r="W644" s="7" t="s">
        <v>11</v>
      </c>
      <c r="X644" s="7" t="s">
        <v>1144</v>
      </c>
    </row>
    <row r="645" spans="23:24">
      <c r="W645" s="7" t="s">
        <v>11</v>
      </c>
      <c r="X645" s="7" t="s">
        <v>1145</v>
      </c>
    </row>
    <row r="646" spans="23:24">
      <c r="W646" s="7" t="s">
        <v>11</v>
      </c>
      <c r="X646" s="7" t="s">
        <v>1146</v>
      </c>
    </row>
    <row r="647" spans="23:24">
      <c r="W647" s="7" t="s">
        <v>11</v>
      </c>
      <c r="X647" s="7" t="s">
        <v>1147</v>
      </c>
    </row>
    <row r="648" spans="23:24">
      <c r="W648" s="7" t="s">
        <v>11</v>
      </c>
      <c r="X648" s="7" t="s">
        <v>1148</v>
      </c>
    </row>
    <row r="649" spans="23:24">
      <c r="W649" s="7" t="s">
        <v>11</v>
      </c>
      <c r="X649" s="7" t="s">
        <v>1149</v>
      </c>
    </row>
    <row r="650" spans="23:24">
      <c r="W650" s="7" t="s">
        <v>11</v>
      </c>
      <c r="X650" s="7" t="s">
        <v>1150</v>
      </c>
    </row>
    <row r="651" spans="23:24">
      <c r="W651" s="7" t="s">
        <v>11</v>
      </c>
      <c r="X651" s="7" t="s">
        <v>1151</v>
      </c>
    </row>
    <row r="652" spans="23:24">
      <c r="W652" s="7" t="s">
        <v>11</v>
      </c>
      <c r="X652" s="7" t="s">
        <v>1152</v>
      </c>
    </row>
    <row r="653" spans="23:24">
      <c r="W653" s="7" t="s">
        <v>11</v>
      </c>
      <c r="X653" s="7" t="s">
        <v>1153</v>
      </c>
    </row>
    <row r="654" spans="23:24">
      <c r="W654" s="7" t="s">
        <v>11</v>
      </c>
      <c r="X654" s="7" t="s">
        <v>1154</v>
      </c>
    </row>
    <row r="655" spans="23:24">
      <c r="W655" s="7" t="s">
        <v>11</v>
      </c>
      <c r="X655" s="7" t="s">
        <v>1155</v>
      </c>
    </row>
    <row r="656" spans="23:24">
      <c r="W656" s="7" t="s">
        <v>11</v>
      </c>
      <c r="X656" s="7" t="s">
        <v>1156</v>
      </c>
    </row>
    <row r="657" spans="23:24">
      <c r="W657" s="7" t="s">
        <v>11</v>
      </c>
      <c r="X657" s="7" t="s">
        <v>1157</v>
      </c>
    </row>
    <row r="658" spans="23:24">
      <c r="W658" s="7" t="s">
        <v>11</v>
      </c>
      <c r="X658" s="7" t="s">
        <v>1158</v>
      </c>
    </row>
    <row r="659" spans="23:24">
      <c r="W659" s="7" t="s">
        <v>11</v>
      </c>
      <c r="X659" s="7" t="s">
        <v>1159</v>
      </c>
    </row>
    <row r="660" spans="23:24">
      <c r="W660" s="7" t="s">
        <v>11</v>
      </c>
      <c r="X660" s="7" t="s">
        <v>1160</v>
      </c>
    </row>
    <row r="661" spans="23:24">
      <c r="W661" s="7" t="s">
        <v>11</v>
      </c>
      <c r="X661" s="7" t="s">
        <v>1161</v>
      </c>
    </row>
    <row r="662" spans="23:24">
      <c r="W662" s="7" t="s">
        <v>11</v>
      </c>
      <c r="X662" s="7" t="s">
        <v>1162</v>
      </c>
    </row>
    <row r="663" spans="23:24">
      <c r="W663" s="7" t="s">
        <v>11</v>
      </c>
      <c r="X663" s="7" t="s">
        <v>1163</v>
      </c>
    </row>
    <row r="664" spans="23:24">
      <c r="W664" s="7" t="s">
        <v>11</v>
      </c>
      <c r="X664" s="7" t="s">
        <v>1164</v>
      </c>
    </row>
    <row r="665" spans="23:24">
      <c r="W665" s="7" t="s">
        <v>11</v>
      </c>
      <c r="X665" s="7" t="s">
        <v>1165</v>
      </c>
    </row>
    <row r="666" spans="23:24">
      <c r="W666" s="7" t="s">
        <v>11</v>
      </c>
      <c r="X666" s="7" t="s">
        <v>1166</v>
      </c>
    </row>
    <row r="667" spans="23:24">
      <c r="W667" s="7" t="s">
        <v>11</v>
      </c>
      <c r="X667" s="7" t="s">
        <v>1167</v>
      </c>
    </row>
    <row r="668" spans="23:24">
      <c r="W668" s="7" t="s">
        <v>11</v>
      </c>
      <c r="X668" s="7" t="s">
        <v>1168</v>
      </c>
    </row>
    <row r="669" spans="23:24">
      <c r="W669" s="7" t="s">
        <v>11</v>
      </c>
      <c r="X669" s="7" t="s">
        <v>1169</v>
      </c>
    </row>
    <row r="670" spans="23:24">
      <c r="W670" s="7" t="s">
        <v>11</v>
      </c>
      <c r="X670" s="7" t="s">
        <v>1170</v>
      </c>
    </row>
    <row r="671" spans="23:24">
      <c r="W671" s="7" t="s">
        <v>11</v>
      </c>
      <c r="X671" s="7" t="s">
        <v>1171</v>
      </c>
    </row>
    <row r="672" spans="23:24">
      <c r="W672" s="7" t="s">
        <v>11</v>
      </c>
      <c r="X672" s="7" t="s">
        <v>1172</v>
      </c>
    </row>
    <row r="673" spans="23:24">
      <c r="W673" s="7" t="s">
        <v>11</v>
      </c>
      <c r="X673" s="7" t="s">
        <v>1173</v>
      </c>
    </row>
    <row r="674" spans="23:24">
      <c r="W674" s="7" t="s">
        <v>11</v>
      </c>
      <c r="X674" s="7" t="s">
        <v>1174</v>
      </c>
    </row>
    <row r="675" spans="23:24">
      <c r="W675" s="7" t="s">
        <v>11</v>
      </c>
      <c r="X675" s="7" t="s">
        <v>1175</v>
      </c>
    </row>
    <row r="676" spans="23:24">
      <c r="W676" s="7" t="s">
        <v>11</v>
      </c>
      <c r="X676" s="7" t="s">
        <v>1176</v>
      </c>
    </row>
    <row r="677" spans="23:24">
      <c r="W677" s="7" t="s">
        <v>11</v>
      </c>
      <c r="X677" s="7" t="s">
        <v>1177</v>
      </c>
    </row>
    <row r="678" spans="23:24">
      <c r="W678" s="7" t="s">
        <v>11</v>
      </c>
      <c r="X678" s="7" t="s">
        <v>1178</v>
      </c>
    </row>
    <row r="679" spans="23:24">
      <c r="W679" s="7" t="s">
        <v>11</v>
      </c>
      <c r="X679" s="7" t="s">
        <v>1179</v>
      </c>
    </row>
    <row r="680" spans="23:24">
      <c r="W680" s="7" t="s">
        <v>11</v>
      </c>
      <c r="X680" s="7" t="s">
        <v>1180</v>
      </c>
    </row>
    <row r="681" spans="23:24">
      <c r="W681" s="7" t="s">
        <v>11</v>
      </c>
      <c r="X681" s="7" t="s">
        <v>1181</v>
      </c>
    </row>
    <row r="682" spans="23:24">
      <c r="W682" s="7" t="s">
        <v>11</v>
      </c>
      <c r="X682" s="7" t="s">
        <v>1182</v>
      </c>
    </row>
    <row r="683" spans="23:24">
      <c r="W683" s="7" t="s">
        <v>11</v>
      </c>
      <c r="X683" s="7" t="s">
        <v>1183</v>
      </c>
    </row>
    <row r="684" spans="23:24">
      <c r="W684" s="7" t="s">
        <v>11</v>
      </c>
      <c r="X684" s="7" t="s">
        <v>1184</v>
      </c>
    </row>
    <row r="685" spans="23:24">
      <c r="W685" s="7" t="s">
        <v>11</v>
      </c>
      <c r="X685" s="7" t="s">
        <v>1185</v>
      </c>
    </row>
    <row r="686" spans="23:24">
      <c r="W686" s="7" t="s">
        <v>11</v>
      </c>
      <c r="X686" s="7" t="s">
        <v>1186</v>
      </c>
    </row>
    <row r="687" spans="23:24">
      <c r="W687" s="7" t="s">
        <v>11</v>
      </c>
      <c r="X687" s="7" t="s">
        <v>1187</v>
      </c>
    </row>
    <row r="688" spans="23:24">
      <c r="W688" s="7" t="s">
        <v>11</v>
      </c>
      <c r="X688" s="7" t="s">
        <v>1188</v>
      </c>
    </row>
    <row r="689" spans="23:24">
      <c r="W689" s="7" t="s">
        <v>11</v>
      </c>
      <c r="X689" s="7" t="s">
        <v>1189</v>
      </c>
    </row>
    <row r="690" spans="23:24">
      <c r="W690" s="7" t="s">
        <v>11</v>
      </c>
      <c r="X690" s="7" t="s">
        <v>1190</v>
      </c>
    </row>
    <row r="691" spans="23:24">
      <c r="W691" s="7" t="s">
        <v>11</v>
      </c>
      <c r="X691" s="7" t="s">
        <v>1191</v>
      </c>
    </row>
    <row r="692" spans="23:24">
      <c r="W692" s="7" t="s">
        <v>11</v>
      </c>
      <c r="X692" s="7" t="s">
        <v>1192</v>
      </c>
    </row>
    <row r="693" spans="23:24">
      <c r="W693" s="7" t="s">
        <v>11</v>
      </c>
      <c r="X693" s="7" t="s">
        <v>1193</v>
      </c>
    </row>
    <row r="694" spans="23:24">
      <c r="W694" s="7" t="s">
        <v>11</v>
      </c>
      <c r="X694" s="7" t="s">
        <v>1194</v>
      </c>
    </row>
    <row r="695" spans="23:24">
      <c r="W695" s="7" t="s">
        <v>11</v>
      </c>
      <c r="X695" s="7" t="s">
        <v>1195</v>
      </c>
    </row>
    <row r="696" spans="23:24">
      <c r="W696" s="7" t="s">
        <v>11</v>
      </c>
      <c r="X696" s="7" t="s">
        <v>1196</v>
      </c>
    </row>
    <row r="697" spans="23:24">
      <c r="W697" s="7" t="s">
        <v>11</v>
      </c>
      <c r="X697" s="7" t="s">
        <v>1197</v>
      </c>
    </row>
    <row r="698" spans="23:24">
      <c r="W698" s="7" t="s">
        <v>11</v>
      </c>
      <c r="X698" s="7" t="s">
        <v>1198</v>
      </c>
    </row>
    <row r="699" spans="23:24">
      <c r="W699" s="7" t="s">
        <v>11</v>
      </c>
      <c r="X699" s="7" t="s">
        <v>1199</v>
      </c>
    </row>
    <row r="700" spans="23:24">
      <c r="W700" s="7" t="s">
        <v>11</v>
      </c>
      <c r="X700" s="7" t="s">
        <v>1200</v>
      </c>
    </row>
    <row r="701" spans="23:24">
      <c r="W701" s="7" t="s">
        <v>11</v>
      </c>
      <c r="X701" s="7" t="s">
        <v>1201</v>
      </c>
    </row>
    <row r="702" spans="23:24">
      <c r="W702" s="7" t="s">
        <v>11</v>
      </c>
      <c r="X702" s="7" t="s">
        <v>1202</v>
      </c>
    </row>
    <row r="703" spans="23:24">
      <c r="W703" s="7" t="s">
        <v>11</v>
      </c>
      <c r="X703" s="7" t="s">
        <v>1203</v>
      </c>
    </row>
    <row r="704" spans="23:24">
      <c r="W704" s="7" t="s">
        <v>11</v>
      </c>
      <c r="X704" s="7" t="s">
        <v>1204</v>
      </c>
    </row>
    <row r="705" spans="23:24">
      <c r="W705" s="7" t="s">
        <v>11</v>
      </c>
      <c r="X705" s="7" t="s">
        <v>1205</v>
      </c>
    </row>
    <row r="706" spans="23:24">
      <c r="W706" s="7" t="s">
        <v>11</v>
      </c>
      <c r="X706" s="7" t="s">
        <v>1206</v>
      </c>
    </row>
    <row r="707" spans="23:24">
      <c r="W707" s="7" t="s">
        <v>11</v>
      </c>
      <c r="X707" s="7" t="s">
        <v>1207</v>
      </c>
    </row>
    <row r="708" spans="23:24">
      <c r="W708" s="7" t="s">
        <v>11</v>
      </c>
      <c r="X708" s="7" t="s">
        <v>1208</v>
      </c>
    </row>
    <row r="709" spans="23:24">
      <c r="W709" s="7" t="s">
        <v>11</v>
      </c>
      <c r="X709" s="7" t="s">
        <v>1209</v>
      </c>
    </row>
    <row r="710" spans="23:24">
      <c r="W710" s="7" t="s">
        <v>11</v>
      </c>
      <c r="X710" s="7" t="s">
        <v>1210</v>
      </c>
    </row>
    <row r="711" spans="23:24">
      <c r="W711" s="7" t="s">
        <v>11</v>
      </c>
      <c r="X711" s="7" t="s">
        <v>1211</v>
      </c>
    </row>
    <row r="712" spans="23:24">
      <c r="W712" s="7" t="s">
        <v>11</v>
      </c>
      <c r="X712" s="7" t="s">
        <v>1212</v>
      </c>
    </row>
    <row r="713" spans="23:24">
      <c r="W713" s="7" t="s">
        <v>11</v>
      </c>
      <c r="X713" s="7" t="s">
        <v>1213</v>
      </c>
    </row>
    <row r="714" spans="23:24">
      <c r="W714" s="7" t="s">
        <v>11</v>
      </c>
      <c r="X714" s="7" t="s">
        <v>1214</v>
      </c>
    </row>
    <row r="715" spans="23:24">
      <c r="W715" s="7" t="s">
        <v>11</v>
      </c>
      <c r="X715" s="7" t="s">
        <v>1215</v>
      </c>
    </row>
    <row r="716" spans="23:24">
      <c r="W716" s="7" t="s">
        <v>11</v>
      </c>
      <c r="X716" s="7" t="s">
        <v>1216</v>
      </c>
    </row>
    <row r="717" spans="23:24">
      <c r="W717" s="7" t="s">
        <v>11</v>
      </c>
      <c r="X717" s="7" t="s">
        <v>1217</v>
      </c>
    </row>
    <row r="718" spans="23:24">
      <c r="W718" s="7" t="s">
        <v>11</v>
      </c>
      <c r="X718" s="7" t="s">
        <v>1218</v>
      </c>
    </row>
    <row r="719" spans="23:24">
      <c r="W719" s="7" t="s">
        <v>11</v>
      </c>
      <c r="X719" s="7" t="s">
        <v>1219</v>
      </c>
    </row>
    <row r="720" spans="23:24">
      <c r="W720" s="7" t="s">
        <v>11</v>
      </c>
      <c r="X720" s="7" t="s">
        <v>1220</v>
      </c>
    </row>
    <row r="721" spans="23:24">
      <c r="W721" s="7" t="s">
        <v>11</v>
      </c>
      <c r="X721" s="7" t="s">
        <v>1221</v>
      </c>
    </row>
    <row r="722" spans="23:24">
      <c r="W722" s="7" t="s">
        <v>11</v>
      </c>
      <c r="X722" s="7" t="s">
        <v>1222</v>
      </c>
    </row>
    <row r="723" spans="23:24">
      <c r="W723" s="7" t="s">
        <v>11</v>
      </c>
      <c r="X723" s="7" t="s">
        <v>1223</v>
      </c>
    </row>
    <row r="724" spans="23:24">
      <c r="W724" s="7" t="s">
        <v>11</v>
      </c>
      <c r="X724" s="7" t="s">
        <v>1224</v>
      </c>
    </row>
    <row r="725" spans="23:24">
      <c r="W725" s="7" t="s">
        <v>11</v>
      </c>
      <c r="X725" s="7" t="s">
        <v>1225</v>
      </c>
    </row>
    <row r="726" spans="23:24">
      <c r="W726" s="7" t="s">
        <v>11</v>
      </c>
      <c r="X726" s="7" t="s">
        <v>1226</v>
      </c>
    </row>
    <row r="727" spans="23:24">
      <c r="W727" s="7" t="s">
        <v>11</v>
      </c>
      <c r="X727" s="7" t="s">
        <v>1227</v>
      </c>
    </row>
    <row r="728" spans="23:24">
      <c r="W728" s="7" t="s">
        <v>11</v>
      </c>
      <c r="X728" s="7" t="s">
        <v>1228</v>
      </c>
    </row>
    <row r="729" spans="23:24">
      <c r="W729" s="7" t="s">
        <v>11</v>
      </c>
      <c r="X729" s="7" t="s">
        <v>1229</v>
      </c>
    </row>
    <row r="730" spans="23:24">
      <c r="W730" s="7" t="s">
        <v>11</v>
      </c>
      <c r="X730" s="7" t="s">
        <v>1230</v>
      </c>
    </row>
    <row r="731" spans="23:24">
      <c r="W731" s="7" t="s">
        <v>11</v>
      </c>
      <c r="X731" s="7" t="s">
        <v>1231</v>
      </c>
    </row>
    <row r="732" spans="23:24">
      <c r="W732" s="7" t="s">
        <v>11</v>
      </c>
      <c r="X732" s="7" t="s">
        <v>1232</v>
      </c>
    </row>
    <row r="733" spans="23:24">
      <c r="W733" s="7" t="s">
        <v>11</v>
      </c>
      <c r="X733" s="7" t="s">
        <v>1233</v>
      </c>
    </row>
    <row r="734" spans="23:24">
      <c r="W734" s="7" t="s">
        <v>11</v>
      </c>
      <c r="X734" s="7" t="s">
        <v>1234</v>
      </c>
    </row>
    <row r="735" spans="23:24">
      <c r="W735" s="7" t="s">
        <v>11</v>
      </c>
      <c r="X735" s="7" t="s">
        <v>1235</v>
      </c>
    </row>
    <row r="736" spans="23:24">
      <c r="W736" s="7" t="s">
        <v>11</v>
      </c>
      <c r="X736" s="7" t="s">
        <v>1236</v>
      </c>
    </row>
    <row r="737" spans="23:24">
      <c r="W737" s="7" t="s">
        <v>11</v>
      </c>
      <c r="X737" s="7" t="s">
        <v>1237</v>
      </c>
    </row>
    <row r="738" spans="23:24">
      <c r="W738" s="7" t="s">
        <v>11</v>
      </c>
      <c r="X738" s="7" t="s">
        <v>1238</v>
      </c>
    </row>
    <row r="739" spans="23:24">
      <c r="W739" s="7" t="s">
        <v>11</v>
      </c>
      <c r="X739" s="7" t="s">
        <v>1239</v>
      </c>
    </row>
    <row r="740" spans="23:24">
      <c r="W740" s="7" t="s">
        <v>11</v>
      </c>
      <c r="X740" s="7" t="s">
        <v>1240</v>
      </c>
    </row>
    <row r="741" spans="23:24">
      <c r="W741" s="7" t="s">
        <v>11</v>
      </c>
      <c r="X741" s="7" t="s">
        <v>1241</v>
      </c>
    </row>
    <row r="742" spans="23:24">
      <c r="W742" s="7" t="s">
        <v>11</v>
      </c>
      <c r="X742" s="7" t="s">
        <v>1242</v>
      </c>
    </row>
    <row r="743" spans="23:24">
      <c r="W743" s="7" t="s">
        <v>11</v>
      </c>
      <c r="X743" s="7" t="s">
        <v>1243</v>
      </c>
    </row>
    <row r="744" spans="23:24">
      <c r="W744" s="7" t="s">
        <v>11</v>
      </c>
      <c r="X744" s="7" t="s">
        <v>1244</v>
      </c>
    </row>
    <row r="745" spans="23:24">
      <c r="W745" s="7" t="s">
        <v>11</v>
      </c>
      <c r="X745" s="7" t="s">
        <v>1245</v>
      </c>
    </row>
    <row r="746" spans="23:24">
      <c r="W746" s="7" t="s">
        <v>11</v>
      </c>
      <c r="X746" s="7" t="s">
        <v>1246</v>
      </c>
    </row>
    <row r="747" spans="23:24">
      <c r="W747" s="7" t="s">
        <v>11</v>
      </c>
      <c r="X747" s="7" t="s">
        <v>1247</v>
      </c>
    </row>
    <row r="748" spans="23:24">
      <c r="W748" s="7" t="s">
        <v>11</v>
      </c>
      <c r="X748" s="7" t="s">
        <v>1248</v>
      </c>
    </row>
    <row r="749" spans="23:24">
      <c r="W749" s="7" t="s">
        <v>11</v>
      </c>
      <c r="X749" s="7" t="s">
        <v>1249</v>
      </c>
    </row>
    <row r="750" spans="23:24">
      <c r="W750" s="7" t="s">
        <v>11</v>
      </c>
      <c r="X750" s="7" t="s">
        <v>1250</v>
      </c>
    </row>
    <row r="751" spans="23:24">
      <c r="W751" s="7" t="s">
        <v>11</v>
      </c>
      <c r="X751" s="7" t="s">
        <v>1251</v>
      </c>
    </row>
    <row r="752" spans="23:24">
      <c r="W752" s="7" t="s">
        <v>11</v>
      </c>
      <c r="X752" s="7" t="s">
        <v>1252</v>
      </c>
    </row>
    <row r="753" spans="23:24">
      <c r="W753" s="7" t="s">
        <v>11</v>
      </c>
      <c r="X753" s="7" t="s">
        <v>1253</v>
      </c>
    </row>
    <row r="754" spans="23:24">
      <c r="W754" s="7" t="s">
        <v>11</v>
      </c>
      <c r="X754" s="7" t="s">
        <v>1254</v>
      </c>
    </row>
    <row r="755" spans="23:24">
      <c r="W755" s="7" t="s">
        <v>11</v>
      </c>
      <c r="X755" s="7" t="s">
        <v>1255</v>
      </c>
    </row>
    <row r="756" spans="23:24">
      <c r="W756" s="7" t="s">
        <v>11</v>
      </c>
      <c r="X756" s="7" t="s">
        <v>1256</v>
      </c>
    </row>
    <row r="757" spans="23:24">
      <c r="W757" s="7" t="s">
        <v>11</v>
      </c>
      <c r="X757" s="7" t="s">
        <v>1257</v>
      </c>
    </row>
    <row r="758" spans="23:24">
      <c r="W758" s="7" t="s">
        <v>11</v>
      </c>
      <c r="X758" s="7" t="s">
        <v>1258</v>
      </c>
    </row>
    <row r="759" spans="23:24">
      <c r="W759" s="7" t="s">
        <v>11</v>
      </c>
      <c r="X759" s="7" t="s">
        <v>1259</v>
      </c>
    </row>
    <row r="760" spans="23:24">
      <c r="W760" s="7" t="s">
        <v>11</v>
      </c>
      <c r="X760" s="7" t="s">
        <v>1260</v>
      </c>
    </row>
    <row r="761" spans="23:24">
      <c r="W761" s="7" t="s">
        <v>11</v>
      </c>
      <c r="X761" s="7" t="s">
        <v>1261</v>
      </c>
    </row>
    <row r="762" spans="23:24">
      <c r="W762" s="7" t="s">
        <v>11</v>
      </c>
      <c r="X762" s="7" t="s">
        <v>1262</v>
      </c>
    </row>
    <row r="763" spans="23:24">
      <c r="W763" s="7" t="s">
        <v>11</v>
      </c>
      <c r="X763" s="7" t="s">
        <v>1263</v>
      </c>
    </row>
    <row r="764" spans="23:24">
      <c r="W764" s="7" t="s">
        <v>11</v>
      </c>
      <c r="X764" s="7" t="s">
        <v>1264</v>
      </c>
    </row>
    <row r="765" spans="23:24">
      <c r="W765" s="7" t="s">
        <v>11</v>
      </c>
      <c r="X765" s="7" t="s">
        <v>1265</v>
      </c>
    </row>
    <row r="766" spans="23:24">
      <c r="W766" s="7" t="s">
        <v>11</v>
      </c>
      <c r="X766" s="7" t="s">
        <v>1266</v>
      </c>
    </row>
    <row r="767" spans="23:24">
      <c r="W767" s="7" t="s">
        <v>11</v>
      </c>
      <c r="X767" s="7" t="s">
        <v>1267</v>
      </c>
    </row>
    <row r="768" spans="23:24">
      <c r="W768" s="7" t="s">
        <v>11</v>
      </c>
      <c r="X768" s="7" t="s">
        <v>1268</v>
      </c>
    </row>
    <row r="769" spans="23:24">
      <c r="W769" s="7" t="s">
        <v>11</v>
      </c>
      <c r="X769" s="7" t="s">
        <v>1269</v>
      </c>
    </row>
    <row r="770" spans="23:24">
      <c r="W770" s="7" t="s">
        <v>11</v>
      </c>
      <c r="X770" s="7" t="s">
        <v>1270</v>
      </c>
    </row>
    <row r="771" spans="23:24">
      <c r="W771" s="7" t="s">
        <v>11</v>
      </c>
      <c r="X771" s="7" t="s">
        <v>1271</v>
      </c>
    </row>
    <row r="772" spans="23:24">
      <c r="W772" s="7" t="s">
        <v>11</v>
      </c>
      <c r="X772" s="7" t="s">
        <v>1272</v>
      </c>
    </row>
    <row r="773" spans="23:24">
      <c r="W773" s="7" t="s">
        <v>11</v>
      </c>
      <c r="X773" s="7" t="s">
        <v>1273</v>
      </c>
    </row>
    <row r="774" spans="23:24">
      <c r="W774" s="7" t="s">
        <v>11</v>
      </c>
      <c r="X774" s="7" t="s">
        <v>1274</v>
      </c>
    </row>
    <row r="775" spans="23:24">
      <c r="W775" s="7" t="s">
        <v>11</v>
      </c>
      <c r="X775" s="7" t="s">
        <v>1275</v>
      </c>
    </row>
    <row r="776" spans="23:24">
      <c r="W776" s="7" t="s">
        <v>11</v>
      </c>
      <c r="X776" s="7" t="s">
        <v>1276</v>
      </c>
    </row>
    <row r="777" spans="23:24">
      <c r="W777" s="7" t="s">
        <v>11</v>
      </c>
      <c r="X777" s="7" t="s">
        <v>1277</v>
      </c>
    </row>
    <row r="778" spans="23:24">
      <c r="W778" s="7" t="s">
        <v>11</v>
      </c>
      <c r="X778" s="7" t="s">
        <v>1278</v>
      </c>
    </row>
    <row r="779" spans="23:24">
      <c r="W779" s="7" t="s">
        <v>11</v>
      </c>
      <c r="X779" s="7" t="s">
        <v>1279</v>
      </c>
    </row>
    <row r="780" spans="23:24">
      <c r="W780" s="7" t="s">
        <v>11</v>
      </c>
      <c r="X780" s="7" t="s">
        <v>1280</v>
      </c>
    </row>
    <row r="781" spans="23:24">
      <c r="W781" s="7" t="s">
        <v>11</v>
      </c>
      <c r="X781" s="7" t="s">
        <v>1281</v>
      </c>
    </row>
    <row r="782" spans="23:24">
      <c r="W782" s="7" t="s">
        <v>11</v>
      </c>
      <c r="X782" s="7" t="s">
        <v>1282</v>
      </c>
    </row>
    <row r="783" spans="23:24">
      <c r="W783" s="7" t="s">
        <v>11</v>
      </c>
      <c r="X783" s="7" t="s">
        <v>1283</v>
      </c>
    </row>
    <row r="784" spans="23:24">
      <c r="W784" s="7" t="s">
        <v>11</v>
      </c>
      <c r="X784" s="7" t="s">
        <v>1284</v>
      </c>
    </row>
    <row r="785" spans="23:24">
      <c r="W785" s="7" t="s">
        <v>11</v>
      </c>
      <c r="X785" s="7" t="s">
        <v>1285</v>
      </c>
    </row>
    <row r="786" spans="23:24">
      <c r="W786" s="7" t="s">
        <v>11</v>
      </c>
      <c r="X786" s="7" t="s">
        <v>1286</v>
      </c>
    </row>
    <row r="787" spans="23:24">
      <c r="W787" s="7" t="s">
        <v>11</v>
      </c>
      <c r="X787" s="7" t="s">
        <v>1287</v>
      </c>
    </row>
    <row r="788" spans="23:24">
      <c r="W788" s="7" t="s">
        <v>11</v>
      </c>
      <c r="X788" s="7" t="s">
        <v>1288</v>
      </c>
    </row>
    <row r="789" spans="23:24">
      <c r="W789" s="7" t="s">
        <v>11</v>
      </c>
      <c r="X789" s="7" t="s">
        <v>1289</v>
      </c>
    </row>
    <row r="790" spans="23:24">
      <c r="W790" s="7" t="s">
        <v>11</v>
      </c>
      <c r="X790" s="7" t="s">
        <v>1290</v>
      </c>
    </row>
    <row r="791" spans="23:24">
      <c r="W791" s="7" t="s">
        <v>11</v>
      </c>
      <c r="X791" s="7" t="s">
        <v>1291</v>
      </c>
    </row>
    <row r="792" spans="23:24">
      <c r="W792" s="7" t="s">
        <v>11</v>
      </c>
      <c r="X792" s="7" t="s">
        <v>1292</v>
      </c>
    </row>
    <row r="793" spans="23:24">
      <c r="W793" s="7" t="s">
        <v>11</v>
      </c>
      <c r="X793" s="7" t="s">
        <v>1293</v>
      </c>
    </row>
    <row r="794" spans="23:24">
      <c r="W794" s="7" t="s">
        <v>11</v>
      </c>
      <c r="X794" s="7" t="s">
        <v>1294</v>
      </c>
    </row>
    <row r="795" spans="23:24">
      <c r="W795" s="7" t="s">
        <v>11</v>
      </c>
      <c r="X795" s="7" t="s">
        <v>1295</v>
      </c>
    </row>
    <row r="796" spans="23:24">
      <c r="W796" s="7" t="s">
        <v>11</v>
      </c>
      <c r="X796" s="7" t="s">
        <v>1296</v>
      </c>
    </row>
    <row r="797" spans="23:24">
      <c r="W797" s="7" t="s">
        <v>11</v>
      </c>
      <c r="X797" s="7" t="s">
        <v>1297</v>
      </c>
    </row>
    <row r="798" spans="23:24">
      <c r="W798" s="7" t="s">
        <v>11</v>
      </c>
      <c r="X798" s="7" t="s">
        <v>1298</v>
      </c>
    </row>
    <row r="799" spans="23:24">
      <c r="W799" s="7" t="s">
        <v>11</v>
      </c>
      <c r="X799" s="7" t="s">
        <v>1299</v>
      </c>
    </row>
    <row r="800" spans="23:24">
      <c r="W800" s="7" t="s">
        <v>11</v>
      </c>
      <c r="X800" s="7" t="s">
        <v>1300</v>
      </c>
    </row>
    <row r="801" spans="23:24">
      <c r="W801" s="7" t="s">
        <v>11</v>
      </c>
      <c r="X801" s="7" t="s">
        <v>1301</v>
      </c>
    </row>
    <row r="802" spans="23:24">
      <c r="W802" s="7" t="s">
        <v>11</v>
      </c>
      <c r="X802" s="7" t="s">
        <v>1302</v>
      </c>
    </row>
    <row r="803" spans="23:24">
      <c r="W803" s="7" t="s">
        <v>11</v>
      </c>
      <c r="X803" s="7" t="s">
        <v>1303</v>
      </c>
    </row>
    <row r="804" spans="23:24">
      <c r="W804" s="7" t="s">
        <v>11</v>
      </c>
      <c r="X804" s="7" t="s">
        <v>1304</v>
      </c>
    </row>
    <row r="805" spans="23:24">
      <c r="W805" s="7" t="s">
        <v>11</v>
      </c>
      <c r="X805" s="7" t="s">
        <v>1305</v>
      </c>
    </row>
    <row r="806" spans="23:24">
      <c r="W806" s="7" t="s">
        <v>11</v>
      </c>
      <c r="X806" s="7" t="s">
        <v>1306</v>
      </c>
    </row>
    <row r="807" spans="23:24">
      <c r="W807" s="7" t="s">
        <v>11</v>
      </c>
      <c r="X807" s="7" t="s">
        <v>1307</v>
      </c>
    </row>
    <row r="808" spans="23:24">
      <c r="W808" s="7" t="s">
        <v>11</v>
      </c>
      <c r="X808" s="7" t="s">
        <v>1308</v>
      </c>
    </row>
    <row r="809" spans="23:24">
      <c r="W809" s="7" t="s">
        <v>11</v>
      </c>
      <c r="X809" s="7" t="s">
        <v>1309</v>
      </c>
    </row>
    <row r="810" spans="23:24">
      <c r="W810" s="7" t="s">
        <v>11</v>
      </c>
      <c r="X810" s="7" t="s">
        <v>1310</v>
      </c>
    </row>
    <row r="811" spans="23:24">
      <c r="W811" s="7" t="s">
        <v>11</v>
      </c>
      <c r="X811" s="7" t="s">
        <v>1311</v>
      </c>
    </row>
    <row r="812" spans="23:24">
      <c r="W812" s="7" t="s">
        <v>11</v>
      </c>
      <c r="X812" s="7" t="s">
        <v>1312</v>
      </c>
    </row>
    <row r="813" spans="23:24">
      <c r="W813" s="7" t="s">
        <v>11</v>
      </c>
      <c r="X813" s="7" t="s">
        <v>1313</v>
      </c>
    </row>
    <row r="814" spans="23:24">
      <c r="W814" s="7" t="s">
        <v>11</v>
      </c>
      <c r="X814" s="7" t="s">
        <v>1314</v>
      </c>
    </row>
    <row r="815" spans="23:24">
      <c r="W815" s="7" t="s">
        <v>11</v>
      </c>
      <c r="X815" s="7" t="s">
        <v>1315</v>
      </c>
    </row>
    <row r="816" spans="23:24">
      <c r="W816" s="7" t="s">
        <v>11</v>
      </c>
      <c r="X816" s="7" t="s">
        <v>1316</v>
      </c>
    </row>
    <row r="817" spans="23:24">
      <c r="W817" s="7" t="s">
        <v>11</v>
      </c>
      <c r="X817" s="7" t="s">
        <v>1317</v>
      </c>
    </row>
    <row r="818" spans="23:24">
      <c r="W818" s="7" t="s">
        <v>11</v>
      </c>
      <c r="X818" s="7" t="s">
        <v>1318</v>
      </c>
    </row>
    <row r="819" spans="23:24">
      <c r="W819" s="7" t="s">
        <v>11</v>
      </c>
      <c r="X819" s="7" t="s">
        <v>1319</v>
      </c>
    </row>
    <row r="820" spans="23:24">
      <c r="W820" s="7" t="s">
        <v>11</v>
      </c>
      <c r="X820" s="7" t="s">
        <v>1320</v>
      </c>
    </row>
    <row r="821" spans="23:24">
      <c r="W821" s="7" t="s">
        <v>11</v>
      </c>
      <c r="X821" s="7" t="s">
        <v>1321</v>
      </c>
    </row>
    <row r="822" spans="23:24">
      <c r="W822" s="7" t="s">
        <v>11</v>
      </c>
      <c r="X822" s="7" t="s">
        <v>1322</v>
      </c>
    </row>
    <row r="823" spans="23:24">
      <c r="W823" s="7" t="s">
        <v>11</v>
      </c>
      <c r="X823" s="7" t="s">
        <v>1323</v>
      </c>
    </row>
    <row r="824" spans="23:24">
      <c r="W824" s="7" t="s">
        <v>11</v>
      </c>
      <c r="X824" s="7" t="s">
        <v>1324</v>
      </c>
    </row>
    <row r="825" spans="23:24">
      <c r="W825" s="7" t="s">
        <v>11</v>
      </c>
      <c r="X825" s="7" t="s">
        <v>1325</v>
      </c>
    </row>
    <row r="826" spans="23:24">
      <c r="W826" s="7" t="s">
        <v>11</v>
      </c>
      <c r="X826" s="7" t="s">
        <v>1326</v>
      </c>
    </row>
    <row r="827" spans="23:24">
      <c r="W827" s="7" t="s">
        <v>11</v>
      </c>
      <c r="X827" s="7" t="s">
        <v>1327</v>
      </c>
    </row>
    <row r="828" spans="23:24">
      <c r="W828" s="7" t="s">
        <v>11</v>
      </c>
      <c r="X828" s="7" t="s">
        <v>1328</v>
      </c>
    </row>
    <row r="829" spans="23:24">
      <c r="W829" s="7" t="s">
        <v>11</v>
      </c>
      <c r="X829" s="7" t="s">
        <v>1329</v>
      </c>
    </row>
    <row r="830" spans="23:24">
      <c r="W830" s="7" t="s">
        <v>11</v>
      </c>
      <c r="X830" s="7" t="s">
        <v>1330</v>
      </c>
    </row>
    <row r="831" spans="23:24">
      <c r="W831" s="7" t="s">
        <v>11</v>
      </c>
      <c r="X831" s="7" t="s">
        <v>1331</v>
      </c>
    </row>
    <row r="832" spans="23:24">
      <c r="W832" s="7" t="s">
        <v>11</v>
      </c>
      <c r="X832" s="7" t="s">
        <v>1332</v>
      </c>
    </row>
    <row r="833" spans="23:24">
      <c r="W833" s="7" t="s">
        <v>11</v>
      </c>
      <c r="X833" s="7" t="s">
        <v>1333</v>
      </c>
    </row>
    <row r="834" spans="23:24">
      <c r="W834" s="7" t="s">
        <v>11</v>
      </c>
      <c r="X834" s="7" t="s">
        <v>1334</v>
      </c>
    </row>
    <row r="835" spans="23:24">
      <c r="W835" s="7" t="s">
        <v>11</v>
      </c>
      <c r="X835" s="7" t="s">
        <v>1335</v>
      </c>
    </row>
    <row r="836" spans="23:24">
      <c r="W836" s="7" t="s">
        <v>11</v>
      </c>
      <c r="X836" s="7" t="s">
        <v>1336</v>
      </c>
    </row>
    <row r="837" spans="23:24">
      <c r="W837" s="7" t="s">
        <v>11</v>
      </c>
      <c r="X837" s="7" t="s">
        <v>1337</v>
      </c>
    </row>
    <row r="838" spans="23:24">
      <c r="W838" s="7" t="s">
        <v>11</v>
      </c>
      <c r="X838" s="7" t="s">
        <v>1338</v>
      </c>
    </row>
    <row r="839" spans="23:24">
      <c r="W839" s="7" t="s">
        <v>11</v>
      </c>
      <c r="X839" s="7" t="s">
        <v>1339</v>
      </c>
    </row>
    <row r="840" spans="23:24">
      <c r="W840" s="7" t="s">
        <v>11</v>
      </c>
      <c r="X840" s="7" t="s">
        <v>1340</v>
      </c>
    </row>
    <row r="841" spans="23:24">
      <c r="W841" s="7" t="s">
        <v>11</v>
      </c>
      <c r="X841" s="7" t="s">
        <v>1341</v>
      </c>
    </row>
    <row r="842" spans="23:24">
      <c r="W842" s="7" t="s">
        <v>11</v>
      </c>
      <c r="X842" s="7" t="s">
        <v>1342</v>
      </c>
    </row>
    <row r="843" spans="23:24">
      <c r="W843" s="7" t="s">
        <v>11</v>
      </c>
      <c r="X843" s="7" t="s">
        <v>1343</v>
      </c>
    </row>
    <row r="844" spans="23:24">
      <c r="W844" s="7" t="s">
        <v>11</v>
      </c>
      <c r="X844" s="7" t="s">
        <v>1344</v>
      </c>
    </row>
    <row r="845" spans="23:24">
      <c r="W845" s="7" t="s">
        <v>11</v>
      </c>
      <c r="X845" s="7" t="s">
        <v>1345</v>
      </c>
    </row>
    <row r="846" spans="23:24">
      <c r="W846" s="7" t="s">
        <v>11</v>
      </c>
      <c r="X846" s="7" t="s">
        <v>1346</v>
      </c>
    </row>
    <row r="847" spans="23:24">
      <c r="W847" s="7" t="s">
        <v>11</v>
      </c>
      <c r="X847" s="7" t="s">
        <v>1347</v>
      </c>
    </row>
    <row r="848" spans="23:24">
      <c r="W848" s="7" t="s">
        <v>11</v>
      </c>
      <c r="X848" s="7" t="s">
        <v>1348</v>
      </c>
    </row>
    <row r="849" spans="23:24">
      <c r="W849" s="7" t="s">
        <v>11</v>
      </c>
      <c r="X849" s="7" t="s">
        <v>1349</v>
      </c>
    </row>
    <row r="850" spans="23:24">
      <c r="W850" s="7" t="s">
        <v>11</v>
      </c>
      <c r="X850" s="7" t="s">
        <v>1350</v>
      </c>
    </row>
    <row r="851" spans="23:24">
      <c r="W851" s="7" t="s">
        <v>11</v>
      </c>
      <c r="X851" s="7" t="s">
        <v>1351</v>
      </c>
    </row>
    <row r="852" spans="23:24">
      <c r="W852" s="7" t="s">
        <v>11</v>
      </c>
      <c r="X852" s="7" t="s">
        <v>1352</v>
      </c>
    </row>
    <row r="853" spans="23:24">
      <c r="W853" s="7" t="s">
        <v>11</v>
      </c>
      <c r="X853" s="7" t="s">
        <v>1353</v>
      </c>
    </row>
    <row r="854" spans="23:24">
      <c r="W854" s="7" t="s">
        <v>11</v>
      </c>
      <c r="X854" s="7" t="s">
        <v>1354</v>
      </c>
    </row>
    <row r="855" spans="23:24">
      <c r="W855" s="7" t="s">
        <v>11</v>
      </c>
      <c r="X855" s="7" t="s">
        <v>1355</v>
      </c>
    </row>
    <row r="856" spans="23:24">
      <c r="W856" s="7" t="s">
        <v>11</v>
      </c>
      <c r="X856" s="7" t="s">
        <v>1356</v>
      </c>
    </row>
    <row r="857" spans="23:24">
      <c r="W857" s="7" t="s">
        <v>11</v>
      </c>
      <c r="X857" s="7" t="s">
        <v>1357</v>
      </c>
    </row>
    <row r="858" spans="23:24">
      <c r="W858" s="7" t="s">
        <v>11</v>
      </c>
      <c r="X858" s="7" t="s">
        <v>1358</v>
      </c>
    </row>
    <row r="859" spans="23:24">
      <c r="W859" s="7" t="s">
        <v>11</v>
      </c>
      <c r="X859" s="7" t="s">
        <v>1359</v>
      </c>
    </row>
    <row r="860" spans="23:24">
      <c r="W860" s="7" t="s">
        <v>11</v>
      </c>
      <c r="X860" s="7" t="s">
        <v>1360</v>
      </c>
    </row>
    <row r="861" spans="23:24">
      <c r="W861" s="7" t="s">
        <v>11</v>
      </c>
      <c r="X861" s="7" t="s">
        <v>1361</v>
      </c>
    </row>
    <row r="862" spans="23:24">
      <c r="W862" s="7" t="s">
        <v>11</v>
      </c>
      <c r="X862" s="7" t="s">
        <v>1362</v>
      </c>
    </row>
    <row r="863" spans="23:24">
      <c r="W863" s="7" t="s">
        <v>11</v>
      </c>
      <c r="X863" s="7" t="s">
        <v>1363</v>
      </c>
    </row>
    <row r="864" spans="23:24">
      <c r="W864" s="7" t="s">
        <v>11</v>
      </c>
      <c r="X864" s="7" t="s">
        <v>1364</v>
      </c>
    </row>
    <row r="865" spans="23:24">
      <c r="W865" s="7" t="s">
        <v>11</v>
      </c>
      <c r="X865" s="7" t="s">
        <v>1365</v>
      </c>
    </row>
    <row r="866" spans="23:24">
      <c r="W866" s="7" t="s">
        <v>11</v>
      </c>
      <c r="X866" s="7" t="s">
        <v>1366</v>
      </c>
    </row>
    <row r="867" spans="23:24">
      <c r="W867" s="7" t="s">
        <v>11</v>
      </c>
      <c r="X867" s="7" t="s">
        <v>1367</v>
      </c>
    </row>
    <row r="868" spans="23:24">
      <c r="W868" s="7" t="s">
        <v>11</v>
      </c>
      <c r="X868" s="7" t="s">
        <v>1368</v>
      </c>
    </row>
    <row r="869" spans="23:24">
      <c r="W869" s="7" t="s">
        <v>11</v>
      </c>
      <c r="X869" s="7" t="s">
        <v>1369</v>
      </c>
    </row>
    <row r="870" spans="23:24">
      <c r="W870" s="7" t="s">
        <v>11</v>
      </c>
      <c r="X870" s="7" t="s">
        <v>1370</v>
      </c>
    </row>
    <row r="871" spans="23:24">
      <c r="W871" s="7" t="s">
        <v>11</v>
      </c>
      <c r="X871" s="7" t="s">
        <v>1371</v>
      </c>
    </row>
    <row r="872" spans="23:24">
      <c r="W872" s="7" t="s">
        <v>11</v>
      </c>
      <c r="X872" s="7" t="s">
        <v>1372</v>
      </c>
    </row>
    <row r="873" spans="23:24">
      <c r="W873" s="7" t="s">
        <v>11</v>
      </c>
      <c r="X873" s="7" t="s">
        <v>1373</v>
      </c>
    </row>
    <row r="874" spans="23:24">
      <c r="W874" s="7" t="s">
        <v>11</v>
      </c>
      <c r="X874" s="7" t="s">
        <v>1374</v>
      </c>
    </row>
    <row r="875" spans="23:24">
      <c r="W875" s="7" t="s">
        <v>11</v>
      </c>
      <c r="X875" s="7" t="s">
        <v>1375</v>
      </c>
    </row>
    <row r="876" spans="23:24">
      <c r="W876" s="7" t="s">
        <v>11</v>
      </c>
      <c r="X876" s="7" t="s">
        <v>1376</v>
      </c>
    </row>
    <row r="877" spans="23:24">
      <c r="W877" s="7" t="s">
        <v>11</v>
      </c>
      <c r="X877" s="7" t="s">
        <v>1377</v>
      </c>
    </row>
    <row r="878" spans="23:24">
      <c r="W878" s="7" t="s">
        <v>11</v>
      </c>
      <c r="X878" s="7" t="s">
        <v>1378</v>
      </c>
    </row>
    <row r="879" spans="23:24">
      <c r="W879" s="7" t="s">
        <v>11</v>
      </c>
      <c r="X879" s="7" t="s">
        <v>1379</v>
      </c>
    </row>
    <row r="880" spans="23:24">
      <c r="W880" s="7" t="s">
        <v>11</v>
      </c>
      <c r="X880" s="7" t="s">
        <v>1380</v>
      </c>
    </row>
    <row r="881" spans="23:24">
      <c r="W881" s="7" t="s">
        <v>11</v>
      </c>
      <c r="X881" s="7" t="s">
        <v>1381</v>
      </c>
    </row>
    <row r="882" spans="23:24">
      <c r="W882" s="7" t="s">
        <v>11</v>
      </c>
      <c r="X882" s="7" t="s">
        <v>1382</v>
      </c>
    </row>
    <row r="883" spans="23:24">
      <c r="W883" s="7" t="s">
        <v>11</v>
      </c>
      <c r="X883" s="7" t="s">
        <v>1383</v>
      </c>
    </row>
    <row r="884" spans="23:24">
      <c r="W884" s="7" t="s">
        <v>11</v>
      </c>
      <c r="X884" s="7" t="s">
        <v>1384</v>
      </c>
    </row>
    <row r="885" spans="23:24">
      <c r="W885" s="7" t="s">
        <v>11</v>
      </c>
      <c r="X885" s="7" t="s">
        <v>1385</v>
      </c>
    </row>
    <row r="886" spans="23:24">
      <c r="W886" s="7" t="s">
        <v>11</v>
      </c>
      <c r="X886" s="7" t="s">
        <v>1386</v>
      </c>
    </row>
    <row r="887" spans="23:24">
      <c r="W887" s="7" t="s">
        <v>11</v>
      </c>
      <c r="X887" s="7" t="s">
        <v>1387</v>
      </c>
    </row>
    <row r="888" spans="23:24">
      <c r="W888" s="7" t="s">
        <v>11</v>
      </c>
      <c r="X888" s="7" t="s">
        <v>1388</v>
      </c>
    </row>
    <row r="889" spans="23:24">
      <c r="W889" s="7" t="s">
        <v>11</v>
      </c>
      <c r="X889" s="7" t="s">
        <v>1389</v>
      </c>
    </row>
    <row r="890" spans="23:24">
      <c r="W890" s="7" t="s">
        <v>11</v>
      </c>
      <c r="X890" s="7" t="s">
        <v>1390</v>
      </c>
    </row>
    <row r="891" spans="23:24">
      <c r="W891" s="7" t="s">
        <v>11</v>
      </c>
      <c r="X891" s="7" t="s">
        <v>1391</v>
      </c>
    </row>
    <row r="892" spans="23:24">
      <c r="W892" s="7" t="s">
        <v>11</v>
      </c>
      <c r="X892" s="7" t="s">
        <v>1392</v>
      </c>
    </row>
    <row r="893" spans="23:24">
      <c r="W893" s="7" t="s">
        <v>11</v>
      </c>
      <c r="X893" s="7" t="s">
        <v>1393</v>
      </c>
    </row>
    <row r="894" spans="23:24">
      <c r="W894" s="7" t="s">
        <v>11</v>
      </c>
      <c r="X894" s="7" t="s">
        <v>1394</v>
      </c>
    </row>
    <row r="895" spans="23:24">
      <c r="W895" s="7" t="s">
        <v>11</v>
      </c>
      <c r="X895" s="7" t="s">
        <v>1395</v>
      </c>
    </row>
    <row r="896" spans="23:24">
      <c r="W896" s="7" t="s">
        <v>11</v>
      </c>
      <c r="X896" s="7" t="s">
        <v>1396</v>
      </c>
    </row>
    <row r="897" spans="23:24">
      <c r="W897" s="7" t="s">
        <v>11</v>
      </c>
      <c r="X897" s="7" t="s">
        <v>1397</v>
      </c>
    </row>
    <row r="898" spans="23:24">
      <c r="W898" s="7" t="s">
        <v>11</v>
      </c>
      <c r="X898" s="7" t="s">
        <v>1398</v>
      </c>
    </row>
    <row r="899" spans="23:24">
      <c r="W899" s="7" t="s">
        <v>11</v>
      </c>
      <c r="X899" s="7" t="s">
        <v>1399</v>
      </c>
    </row>
    <row r="900" spans="23:24">
      <c r="W900" s="7" t="s">
        <v>11</v>
      </c>
      <c r="X900" s="7" t="s">
        <v>1400</v>
      </c>
    </row>
    <row r="901" spans="23:24">
      <c r="W901" s="7" t="s">
        <v>11</v>
      </c>
      <c r="X901" s="7" t="s">
        <v>1401</v>
      </c>
    </row>
    <row r="902" spans="23:24">
      <c r="W902" s="7" t="s">
        <v>11</v>
      </c>
      <c r="X902" s="7" t="s">
        <v>1402</v>
      </c>
    </row>
    <row r="903" spans="23:24">
      <c r="W903" s="7" t="s">
        <v>11</v>
      </c>
      <c r="X903" s="7" t="s">
        <v>1403</v>
      </c>
    </row>
    <row r="904" spans="23:24">
      <c r="W904" s="7" t="s">
        <v>11</v>
      </c>
      <c r="X904" s="7" t="s">
        <v>1404</v>
      </c>
    </row>
    <row r="905" spans="23:24">
      <c r="W905" s="7" t="s">
        <v>11</v>
      </c>
      <c r="X905" s="7" t="s">
        <v>1405</v>
      </c>
    </row>
    <row r="906" spans="23:24">
      <c r="W906" s="7" t="s">
        <v>11</v>
      </c>
      <c r="X906" s="7" t="s">
        <v>1406</v>
      </c>
    </row>
    <row r="907" spans="23:24">
      <c r="W907" s="7" t="s">
        <v>11</v>
      </c>
      <c r="X907" s="7" t="s">
        <v>1407</v>
      </c>
    </row>
    <row r="908" spans="23:24">
      <c r="W908" s="7" t="s">
        <v>11</v>
      </c>
      <c r="X908" s="7" t="s">
        <v>1408</v>
      </c>
    </row>
    <row r="909" spans="23:24">
      <c r="W909" s="7" t="s">
        <v>11</v>
      </c>
      <c r="X909" s="7" t="s">
        <v>1409</v>
      </c>
    </row>
    <row r="910" spans="23:24">
      <c r="W910" s="7" t="s">
        <v>11</v>
      </c>
      <c r="X910" s="7" t="s">
        <v>1410</v>
      </c>
    </row>
    <row r="911" spans="23:24">
      <c r="W911" s="7" t="s">
        <v>11</v>
      </c>
      <c r="X911" s="7" t="s">
        <v>1411</v>
      </c>
    </row>
    <row r="912" spans="23:24">
      <c r="W912" s="7" t="s">
        <v>11</v>
      </c>
      <c r="X912" s="7" t="s">
        <v>1412</v>
      </c>
    </row>
    <row r="913" spans="23:24">
      <c r="W913" s="7" t="s">
        <v>11</v>
      </c>
      <c r="X913" s="7" t="s">
        <v>1413</v>
      </c>
    </row>
    <row r="914" spans="23:24">
      <c r="W914" s="7" t="s">
        <v>11</v>
      </c>
      <c r="X914" s="7" t="s">
        <v>1414</v>
      </c>
    </row>
    <row r="915" spans="23:24">
      <c r="W915" s="7" t="s">
        <v>11</v>
      </c>
      <c r="X915" s="7" t="s">
        <v>1415</v>
      </c>
    </row>
    <row r="916" spans="23:24">
      <c r="W916" s="7" t="s">
        <v>11</v>
      </c>
      <c r="X916" s="7" t="s">
        <v>1416</v>
      </c>
    </row>
    <row r="917" spans="23:24">
      <c r="W917" s="7" t="s">
        <v>11</v>
      </c>
      <c r="X917" s="7" t="s">
        <v>1417</v>
      </c>
    </row>
    <row r="918" spans="23:24">
      <c r="W918" s="7" t="s">
        <v>11</v>
      </c>
      <c r="X918" s="7" t="s">
        <v>1418</v>
      </c>
    </row>
    <row r="919" spans="23:24">
      <c r="W919" s="7" t="s">
        <v>11</v>
      </c>
      <c r="X919" s="7" t="s">
        <v>1419</v>
      </c>
    </row>
    <row r="920" spans="23:24">
      <c r="W920" s="7" t="s">
        <v>11</v>
      </c>
      <c r="X920" s="7" t="s">
        <v>1420</v>
      </c>
    </row>
    <row r="921" spans="23:24">
      <c r="W921" s="7" t="s">
        <v>11</v>
      </c>
      <c r="X921" s="7" t="s">
        <v>1421</v>
      </c>
    </row>
    <row r="922" spans="23:24">
      <c r="W922" s="7" t="s">
        <v>11</v>
      </c>
      <c r="X922" s="7" t="s">
        <v>1422</v>
      </c>
    </row>
    <row r="923" spans="23:24">
      <c r="W923" s="7" t="s">
        <v>11</v>
      </c>
      <c r="X923" s="7" t="s">
        <v>1423</v>
      </c>
    </row>
    <row r="924" spans="23:24">
      <c r="W924" s="7" t="s">
        <v>11</v>
      </c>
      <c r="X924" s="7" t="s">
        <v>1424</v>
      </c>
    </row>
    <row r="925" spans="23:24">
      <c r="W925" s="7" t="s">
        <v>11</v>
      </c>
      <c r="X925" s="7" t="s">
        <v>1425</v>
      </c>
    </row>
    <row r="926" spans="23:24">
      <c r="W926" s="7" t="s">
        <v>11</v>
      </c>
      <c r="X926" s="7" t="s">
        <v>1426</v>
      </c>
    </row>
    <row r="927" spans="23:24">
      <c r="W927" s="7" t="s">
        <v>11</v>
      </c>
      <c r="X927" s="7" t="s">
        <v>1427</v>
      </c>
    </row>
    <row r="928" spans="23:24">
      <c r="W928" s="7" t="s">
        <v>11</v>
      </c>
      <c r="X928" s="7" t="s">
        <v>1428</v>
      </c>
    </row>
    <row r="929" spans="23:24">
      <c r="W929" s="7" t="s">
        <v>11</v>
      </c>
      <c r="X929" s="7" t="s">
        <v>1429</v>
      </c>
    </row>
    <row r="930" spans="23:24">
      <c r="W930" s="7" t="s">
        <v>11</v>
      </c>
      <c r="X930" s="7" t="s">
        <v>1430</v>
      </c>
    </row>
    <row r="931" spans="23:24">
      <c r="W931" s="7" t="s">
        <v>11</v>
      </c>
      <c r="X931" s="7" t="s">
        <v>1431</v>
      </c>
    </row>
    <row r="932" spans="23:24">
      <c r="W932" s="7" t="s">
        <v>11</v>
      </c>
      <c r="X932" s="7" t="s">
        <v>1432</v>
      </c>
    </row>
    <row r="933" spans="23:24">
      <c r="W933" s="7" t="s">
        <v>11</v>
      </c>
      <c r="X933" s="7" t="s">
        <v>1433</v>
      </c>
    </row>
    <row r="934" spans="23:24">
      <c r="W934" s="7" t="s">
        <v>11</v>
      </c>
      <c r="X934" s="7" t="s">
        <v>1434</v>
      </c>
    </row>
    <row r="935" spans="23:24">
      <c r="W935" s="7" t="s">
        <v>11</v>
      </c>
      <c r="X935" s="7" t="s">
        <v>1435</v>
      </c>
    </row>
    <row r="936" spans="23:24">
      <c r="W936" s="7" t="s">
        <v>11</v>
      </c>
      <c r="X936" s="7" t="s">
        <v>1436</v>
      </c>
    </row>
    <row r="937" spans="23:24">
      <c r="W937" s="7" t="s">
        <v>11</v>
      </c>
      <c r="X937" s="7" t="s">
        <v>1437</v>
      </c>
    </row>
    <row r="938" spans="23:24">
      <c r="W938" s="7" t="s">
        <v>11</v>
      </c>
      <c r="X938" s="7" t="s">
        <v>1438</v>
      </c>
    </row>
    <row r="939" spans="23:24">
      <c r="W939" s="7" t="s">
        <v>11</v>
      </c>
      <c r="X939" s="7" t="s">
        <v>1439</v>
      </c>
    </row>
    <row r="940" spans="23:24">
      <c r="W940" s="7" t="s">
        <v>11</v>
      </c>
      <c r="X940" s="7" t="s">
        <v>1440</v>
      </c>
    </row>
    <row r="941" spans="23:24">
      <c r="W941" s="7" t="s">
        <v>11</v>
      </c>
      <c r="X941" s="7" t="s">
        <v>1441</v>
      </c>
    </row>
    <row r="942" spans="23:24">
      <c r="W942" s="7" t="s">
        <v>11</v>
      </c>
      <c r="X942" s="7" t="s">
        <v>1442</v>
      </c>
    </row>
    <row r="943" spans="23:24">
      <c r="W943" s="7" t="s">
        <v>11</v>
      </c>
      <c r="X943" s="7" t="s">
        <v>1443</v>
      </c>
    </row>
    <row r="944" spans="23:24">
      <c r="W944" s="7" t="s">
        <v>11</v>
      </c>
      <c r="X944" s="7" t="s">
        <v>1444</v>
      </c>
    </row>
    <row r="945" spans="23:24">
      <c r="W945" s="7" t="s">
        <v>11</v>
      </c>
      <c r="X945" s="7" t="s">
        <v>1445</v>
      </c>
    </row>
    <row r="946" spans="23:24">
      <c r="W946" s="7" t="s">
        <v>11</v>
      </c>
      <c r="X946" s="7" t="s">
        <v>1446</v>
      </c>
    </row>
    <row r="947" spans="23:24">
      <c r="W947" s="7" t="s">
        <v>11</v>
      </c>
      <c r="X947" s="7" t="s">
        <v>1447</v>
      </c>
    </row>
    <row r="948" spans="23:24">
      <c r="W948" s="7" t="s">
        <v>11</v>
      </c>
      <c r="X948" s="7" t="s">
        <v>1448</v>
      </c>
    </row>
    <row r="949" spans="23:24">
      <c r="W949" s="7" t="s">
        <v>11</v>
      </c>
      <c r="X949" s="7" t="s">
        <v>1449</v>
      </c>
    </row>
    <row r="950" spans="23:24">
      <c r="W950" s="7" t="s">
        <v>11</v>
      </c>
      <c r="X950" s="7" t="s">
        <v>1450</v>
      </c>
    </row>
    <row r="951" spans="23:24">
      <c r="W951" s="7" t="s">
        <v>11</v>
      </c>
      <c r="X951" s="7" t="s">
        <v>1451</v>
      </c>
    </row>
    <row r="952" spans="23:24">
      <c r="W952" s="7" t="s">
        <v>11</v>
      </c>
      <c r="X952" s="7" t="s">
        <v>1452</v>
      </c>
    </row>
    <row r="953" spans="23:24">
      <c r="W953" s="7" t="s">
        <v>11</v>
      </c>
      <c r="X953" s="7" t="s">
        <v>1453</v>
      </c>
    </row>
    <row r="954" spans="23:24">
      <c r="W954" s="7" t="s">
        <v>11</v>
      </c>
      <c r="X954" s="7" t="s">
        <v>1454</v>
      </c>
    </row>
    <row r="955" spans="23:24">
      <c r="W955" s="7" t="s">
        <v>11</v>
      </c>
      <c r="X955" s="7" t="s">
        <v>1455</v>
      </c>
    </row>
    <row r="956" spans="23:24">
      <c r="W956" s="7" t="s">
        <v>11</v>
      </c>
      <c r="X956" s="7" t="s">
        <v>1456</v>
      </c>
    </row>
    <row r="957" spans="23:24">
      <c r="W957" s="7" t="s">
        <v>11</v>
      </c>
      <c r="X957" s="7" t="s">
        <v>1457</v>
      </c>
    </row>
    <row r="958" spans="23:24">
      <c r="W958" s="7" t="s">
        <v>11</v>
      </c>
      <c r="X958" s="7" t="s">
        <v>1458</v>
      </c>
    </row>
    <row r="959" spans="23:24">
      <c r="W959" s="7" t="s">
        <v>11</v>
      </c>
      <c r="X959" s="7" t="s">
        <v>1459</v>
      </c>
    </row>
    <row r="960" spans="23:24">
      <c r="W960" s="7" t="s">
        <v>11</v>
      </c>
      <c r="X960" s="7" t="s">
        <v>1460</v>
      </c>
    </row>
    <row r="961" spans="23:24">
      <c r="W961" s="7" t="s">
        <v>11</v>
      </c>
      <c r="X961" s="7" t="s">
        <v>1461</v>
      </c>
    </row>
    <row r="962" spans="23:24">
      <c r="W962" s="7" t="s">
        <v>11</v>
      </c>
      <c r="X962" s="7" t="s">
        <v>1462</v>
      </c>
    </row>
    <row r="963" spans="23:24">
      <c r="W963" s="7" t="s">
        <v>11</v>
      </c>
      <c r="X963" s="7" t="s">
        <v>1463</v>
      </c>
    </row>
    <row r="964" spans="23:24">
      <c r="W964" s="7" t="s">
        <v>11</v>
      </c>
      <c r="X964" s="7" t="s">
        <v>1464</v>
      </c>
    </row>
    <row r="965" spans="23:24">
      <c r="W965" s="7" t="s">
        <v>11</v>
      </c>
      <c r="X965" s="7" t="s">
        <v>1465</v>
      </c>
    </row>
    <row r="966" spans="23:24">
      <c r="W966" s="7" t="s">
        <v>11</v>
      </c>
      <c r="X966" s="7" t="s">
        <v>1466</v>
      </c>
    </row>
    <row r="967" spans="23:24">
      <c r="W967" s="7" t="s">
        <v>11</v>
      </c>
      <c r="X967" s="7" t="s">
        <v>1467</v>
      </c>
    </row>
    <row r="968" spans="23:24">
      <c r="W968" s="7" t="s">
        <v>11</v>
      </c>
      <c r="X968" s="7" t="s">
        <v>1468</v>
      </c>
    </row>
    <row r="969" spans="23:24">
      <c r="W969" s="7" t="s">
        <v>11</v>
      </c>
      <c r="X969" s="7" t="s">
        <v>1469</v>
      </c>
    </row>
    <row r="970" spans="23:24">
      <c r="W970" s="7" t="s">
        <v>11</v>
      </c>
      <c r="X970" s="7" t="s">
        <v>1470</v>
      </c>
    </row>
    <row r="971" spans="23:24">
      <c r="W971" s="7" t="s">
        <v>11</v>
      </c>
      <c r="X971" s="7" t="s">
        <v>1471</v>
      </c>
    </row>
    <row r="972" spans="23:24">
      <c r="W972" s="7" t="s">
        <v>11</v>
      </c>
      <c r="X972" s="7" t="s">
        <v>1472</v>
      </c>
    </row>
    <row r="973" spans="23:24">
      <c r="W973" s="7" t="s">
        <v>11</v>
      </c>
      <c r="X973" s="7" t="s">
        <v>1473</v>
      </c>
    </row>
    <row r="974" spans="23:24">
      <c r="W974" s="7" t="s">
        <v>11</v>
      </c>
      <c r="X974" s="7" t="s">
        <v>1474</v>
      </c>
    </row>
    <row r="975" spans="23:24">
      <c r="W975" s="7" t="s">
        <v>11</v>
      </c>
      <c r="X975" s="7" t="s">
        <v>1475</v>
      </c>
    </row>
    <row r="976" spans="23:24">
      <c r="W976" s="7" t="s">
        <v>11</v>
      </c>
      <c r="X976" s="7" t="s">
        <v>1476</v>
      </c>
    </row>
    <row r="977" spans="23:24">
      <c r="W977" s="7" t="s">
        <v>11</v>
      </c>
      <c r="X977" s="7" t="s">
        <v>1477</v>
      </c>
    </row>
    <row r="978" spans="23:24">
      <c r="W978" s="7" t="s">
        <v>11</v>
      </c>
      <c r="X978" s="7" t="s">
        <v>1478</v>
      </c>
    </row>
    <row r="979" spans="23:24">
      <c r="W979" s="7" t="s">
        <v>11</v>
      </c>
      <c r="X979" s="7" t="s">
        <v>1479</v>
      </c>
    </row>
    <row r="980" spans="23:24">
      <c r="W980" s="7" t="s">
        <v>11</v>
      </c>
      <c r="X980" s="7" t="s">
        <v>1480</v>
      </c>
    </row>
    <row r="981" spans="23:24">
      <c r="W981" s="7" t="s">
        <v>11</v>
      </c>
      <c r="X981" s="7" t="s">
        <v>1481</v>
      </c>
    </row>
    <row r="982" spans="23:24">
      <c r="W982" s="7" t="s">
        <v>11</v>
      </c>
      <c r="X982" s="7" t="s">
        <v>1482</v>
      </c>
    </row>
    <row r="983" spans="23:24">
      <c r="W983" s="7" t="s">
        <v>11</v>
      </c>
      <c r="X983" s="7" t="s">
        <v>1483</v>
      </c>
    </row>
    <row r="984" spans="23:24">
      <c r="W984" s="7" t="s">
        <v>11</v>
      </c>
      <c r="X984" s="7" t="s">
        <v>1484</v>
      </c>
    </row>
    <row r="985" spans="23:24">
      <c r="W985" s="7" t="s">
        <v>11</v>
      </c>
      <c r="X985" s="7" t="s">
        <v>1485</v>
      </c>
    </row>
    <row r="986" spans="23:24">
      <c r="W986" s="7" t="s">
        <v>11</v>
      </c>
      <c r="X986" s="7" t="s">
        <v>1486</v>
      </c>
    </row>
    <row r="987" spans="23:24">
      <c r="W987" s="7" t="s">
        <v>11</v>
      </c>
      <c r="X987" s="7" t="s">
        <v>1487</v>
      </c>
    </row>
    <row r="988" spans="23:24">
      <c r="W988" s="7" t="s">
        <v>11</v>
      </c>
      <c r="X988" s="7" t="s">
        <v>1488</v>
      </c>
    </row>
    <row r="989" spans="23:24">
      <c r="W989" s="7" t="s">
        <v>11</v>
      </c>
      <c r="X989" s="7" t="s">
        <v>1489</v>
      </c>
    </row>
    <row r="990" spans="23:24">
      <c r="W990" s="7" t="s">
        <v>11</v>
      </c>
      <c r="X990" s="7" t="s">
        <v>1490</v>
      </c>
    </row>
    <row r="991" spans="23:24">
      <c r="W991" s="7" t="s">
        <v>11</v>
      </c>
      <c r="X991" s="7" t="s">
        <v>1491</v>
      </c>
    </row>
    <row r="992" spans="23:24">
      <c r="W992" s="7" t="s">
        <v>11</v>
      </c>
      <c r="X992" s="7" t="s">
        <v>1492</v>
      </c>
    </row>
    <row r="993" spans="23:24">
      <c r="W993" s="7" t="s">
        <v>11</v>
      </c>
      <c r="X993" s="7" t="s">
        <v>1493</v>
      </c>
    </row>
    <row r="994" spans="23:24">
      <c r="W994" s="7" t="s">
        <v>11</v>
      </c>
      <c r="X994" s="7" t="s">
        <v>1494</v>
      </c>
    </row>
    <row r="995" spans="23:24">
      <c r="W995" s="7" t="s">
        <v>11</v>
      </c>
      <c r="X995" s="7" t="s">
        <v>1495</v>
      </c>
    </row>
    <row r="996" spans="23:24">
      <c r="W996" s="7" t="s">
        <v>11</v>
      </c>
      <c r="X996" s="7" t="s">
        <v>1496</v>
      </c>
    </row>
    <row r="997" spans="23:24">
      <c r="W997" s="7" t="s">
        <v>11</v>
      </c>
      <c r="X997" s="7" t="s">
        <v>1497</v>
      </c>
    </row>
    <row r="998" spans="23:24">
      <c r="W998" s="7" t="s">
        <v>11</v>
      </c>
      <c r="X998" s="7" t="s">
        <v>1498</v>
      </c>
    </row>
    <row r="999" spans="23:24">
      <c r="W999" s="7" t="s">
        <v>11</v>
      </c>
      <c r="X999" s="7" t="s">
        <v>1499</v>
      </c>
    </row>
    <row r="1000" spans="23:24">
      <c r="W1000" s="7" t="s">
        <v>11</v>
      </c>
      <c r="X1000" s="7" t="s">
        <v>1500</v>
      </c>
    </row>
    <row r="1001" spans="23:24">
      <c r="W1001" s="7" t="s">
        <v>11</v>
      </c>
      <c r="X1001" s="7" t="s">
        <v>1501</v>
      </c>
    </row>
    <row r="1002" spans="23:24">
      <c r="W1002" s="7" t="s">
        <v>11</v>
      </c>
      <c r="X1002" s="7" t="s">
        <v>1502</v>
      </c>
    </row>
    <row r="1003" spans="23:24">
      <c r="W1003" s="7" t="s">
        <v>11</v>
      </c>
      <c r="X1003" s="7" t="s">
        <v>1503</v>
      </c>
    </row>
    <row r="1004" spans="23:24">
      <c r="W1004" s="7" t="s">
        <v>11</v>
      </c>
      <c r="X1004" s="7" t="s">
        <v>1504</v>
      </c>
    </row>
    <row r="1005" spans="23:24">
      <c r="W1005" s="7" t="s">
        <v>11</v>
      </c>
      <c r="X1005" s="7" t="s">
        <v>1505</v>
      </c>
    </row>
    <row r="1006" spans="23:24">
      <c r="W1006" s="7" t="s">
        <v>11</v>
      </c>
      <c r="X1006" s="7" t="s">
        <v>1506</v>
      </c>
    </row>
    <row r="1007" spans="23:24">
      <c r="W1007" s="7" t="s">
        <v>11</v>
      </c>
      <c r="X1007" s="7" t="s">
        <v>1507</v>
      </c>
    </row>
    <row r="1008" spans="23:24">
      <c r="W1008" s="7" t="s">
        <v>11</v>
      </c>
      <c r="X1008" s="7" t="s">
        <v>1508</v>
      </c>
    </row>
    <row r="1009" spans="23:24">
      <c r="W1009" s="7" t="s">
        <v>11</v>
      </c>
      <c r="X1009" s="7" t="s">
        <v>1509</v>
      </c>
    </row>
    <row r="1010" spans="23:24">
      <c r="W1010" s="7" t="s">
        <v>11</v>
      </c>
      <c r="X1010" s="7" t="s">
        <v>1510</v>
      </c>
    </row>
    <row r="1011" spans="23:24">
      <c r="W1011" s="7" t="s">
        <v>11</v>
      </c>
      <c r="X1011" s="7" t="s">
        <v>1511</v>
      </c>
    </row>
    <row r="1012" spans="23:24">
      <c r="W1012" s="7" t="s">
        <v>11</v>
      </c>
      <c r="X1012" s="7" t="s">
        <v>1512</v>
      </c>
    </row>
    <row r="1013" spans="23:24">
      <c r="W1013" s="7" t="s">
        <v>11</v>
      </c>
      <c r="X1013" s="7" t="s">
        <v>1513</v>
      </c>
    </row>
    <row r="1014" spans="23:24">
      <c r="W1014" s="7" t="s">
        <v>11</v>
      </c>
      <c r="X1014" s="7" t="s">
        <v>1514</v>
      </c>
    </row>
    <row r="1015" spans="23:24">
      <c r="W1015" s="7" t="s">
        <v>11</v>
      </c>
      <c r="X1015" s="7" t="s">
        <v>1515</v>
      </c>
    </row>
    <row r="1016" spans="23:24">
      <c r="W1016" s="7" t="s">
        <v>11</v>
      </c>
      <c r="X1016" s="7" t="s">
        <v>1516</v>
      </c>
    </row>
    <row r="1017" spans="23:24">
      <c r="W1017" s="7" t="s">
        <v>11</v>
      </c>
      <c r="X1017" s="7" t="s">
        <v>1517</v>
      </c>
    </row>
    <row r="1018" spans="23:24">
      <c r="W1018" s="7" t="s">
        <v>11</v>
      </c>
      <c r="X1018" s="7" t="s">
        <v>1518</v>
      </c>
    </row>
    <row r="1019" spans="23:24">
      <c r="W1019" s="7" t="s">
        <v>11</v>
      </c>
      <c r="X1019" s="7" t="s">
        <v>1519</v>
      </c>
    </row>
    <row r="1020" spans="23:24">
      <c r="W1020" s="7" t="s">
        <v>11</v>
      </c>
      <c r="X1020" s="7" t="s">
        <v>1520</v>
      </c>
    </row>
    <row r="1021" spans="23:24">
      <c r="W1021" s="7" t="s">
        <v>11</v>
      </c>
      <c r="X1021" s="7" t="s">
        <v>1521</v>
      </c>
    </row>
    <row r="1022" spans="23:24">
      <c r="W1022" s="7" t="s">
        <v>11</v>
      </c>
      <c r="X1022" s="7" t="s">
        <v>1522</v>
      </c>
    </row>
    <row r="1023" spans="23:24">
      <c r="W1023" s="7" t="s">
        <v>11</v>
      </c>
      <c r="X1023" s="7" t="s">
        <v>1523</v>
      </c>
    </row>
    <row r="1024" spans="23:24">
      <c r="W1024" s="7" t="s">
        <v>11</v>
      </c>
      <c r="X1024" s="7" t="s">
        <v>1524</v>
      </c>
    </row>
    <row r="1025" spans="23:24">
      <c r="W1025" s="7" t="s">
        <v>11</v>
      </c>
      <c r="X1025" s="7" t="s">
        <v>1525</v>
      </c>
    </row>
    <row r="1026" spans="23:24">
      <c r="W1026" s="7" t="s">
        <v>11</v>
      </c>
      <c r="X1026" s="7" t="s">
        <v>1526</v>
      </c>
    </row>
    <row r="1027" spans="23:24">
      <c r="W1027" s="7" t="s">
        <v>11</v>
      </c>
      <c r="X1027" s="7" t="s">
        <v>1527</v>
      </c>
    </row>
    <row r="1028" spans="23:24">
      <c r="W1028" s="7" t="s">
        <v>11</v>
      </c>
      <c r="X1028" s="7" t="s">
        <v>1528</v>
      </c>
    </row>
    <row r="1029" spans="23:24">
      <c r="W1029" s="7" t="s">
        <v>11</v>
      </c>
      <c r="X1029" s="7" t="s">
        <v>1529</v>
      </c>
    </row>
    <row r="1030" spans="23:24">
      <c r="W1030" s="7" t="s">
        <v>11</v>
      </c>
      <c r="X1030" s="7" t="s">
        <v>1530</v>
      </c>
    </row>
    <row r="1031" spans="23:24">
      <c r="W1031" s="7" t="s">
        <v>11</v>
      </c>
      <c r="X1031" s="7" t="s">
        <v>1531</v>
      </c>
    </row>
    <row r="1032" spans="23:24">
      <c r="W1032" s="7" t="s">
        <v>11</v>
      </c>
      <c r="X1032" s="7" t="s">
        <v>1532</v>
      </c>
    </row>
    <row r="1033" spans="23:24">
      <c r="W1033" s="7" t="s">
        <v>11</v>
      </c>
      <c r="X1033" s="7" t="s">
        <v>1533</v>
      </c>
    </row>
    <row r="1034" spans="23:24">
      <c r="W1034" s="7" t="s">
        <v>11</v>
      </c>
      <c r="X1034" s="7" t="s">
        <v>1534</v>
      </c>
    </row>
    <row r="1035" spans="23:24">
      <c r="W1035" s="7" t="s">
        <v>11</v>
      </c>
      <c r="X1035" s="7" t="s">
        <v>1535</v>
      </c>
    </row>
    <row r="1036" spans="23:24">
      <c r="W1036" s="7" t="s">
        <v>11</v>
      </c>
      <c r="X1036" s="7" t="s">
        <v>1536</v>
      </c>
    </row>
    <row r="1037" spans="23:24">
      <c r="W1037" s="7" t="s">
        <v>11</v>
      </c>
      <c r="X1037" s="7" t="s">
        <v>1537</v>
      </c>
    </row>
    <row r="1038" spans="23:24">
      <c r="W1038" s="7" t="s">
        <v>11</v>
      </c>
      <c r="X1038" s="7" t="s">
        <v>1538</v>
      </c>
    </row>
    <row r="1039" spans="23:24">
      <c r="W1039" s="7" t="s">
        <v>11</v>
      </c>
      <c r="X1039" s="7" t="s">
        <v>1539</v>
      </c>
    </row>
    <row r="1040" spans="23:24">
      <c r="W1040" s="7" t="s">
        <v>11</v>
      </c>
      <c r="X1040" s="7" t="s">
        <v>1540</v>
      </c>
    </row>
    <row r="1041" spans="23:24">
      <c r="W1041" s="7" t="s">
        <v>11</v>
      </c>
      <c r="X1041" s="7" t="s">
        <v>1541</v>
      </c>
    </row>
    <row r="1042" spans="23:24">
      <c r="W1042" s="7" t="s">
        <v>11</v>
      </c>
      <c r="X1042" s="7" t="s">
        <v>1542</v>
      </c>
    </row>
    <row r="1043" spans="23:24">
      <c r="W1043" s="7" t="s">
        <v>11</v>
      </c>
      <c r="X1043" s="7" t="s">
        <v>1543</v>
      </c>
    </row>
    <row r="1044" spans="23:24">
      <c r="W1044" s="7" t="s">
        <v>11</v>
      </c>
      <c r="X1044" s="7" t="s">
        <v>1544</v>
      </c>
    </row>
    <row r="1045" spans="23:24">
      <c r="W1045" s="7" t="s">
        <v>11</v>
      </c>
      <c r="X1045" s="7" t="s">
        <v>1545</v>
      </c>
    </row>
    <row r="1046" spans="23:24">
      <c r="W1046" s="7" t="s">
        <v>11</v>
      </c>
      <c r="X1046" s="7" t="s">
        <v>1546</v>
      </c>
    </row>
    <row r="1047" spans="23:24">
      <c r="W1047" s="7" t="s">
        <v>11</v>
      </c>
      <c r="X1047" s="7" t="s">
        <v>1547</v>
      </c>
    </row>
    <row r="1048" spans="23:24">
      <c r="W1048" s="7" t="s">
        <v>11</v>
      </c>
      <c r="X1048" s="7" t="s">
        <v>1548</v>
      </c>
    </row>
    <row r="1049" spans="23:24">
      <c r="W1049" s="7" t="s">
        <v>11</v>
      </c>
      <c r="X1049" s="7" t="s">
        <v>1549</v>
      </c>
    </row>
    <row r="1050" spans="23:24">
      <c r="W1050" s="7" t="s">
        <v>11</v>
      </c>
      <c r="X1050" s="7" t="s">
        <v>1550</v>
      </c>
    </row>
    <row r="1051" spans="23:24">
      <c r="W1051" s="7" t="s">
        <v>11</v>
      </c>
      <c r="X1051" s="7" t="s">
        <v>1551</v>
      </c>
    </row>
    <row r="1052" spans="23:24">
      <c r="W1052" s="7" t="s">
        <v>11</v>
      </c>
      <c r="X1052" s="7" t="s">
        <v>1552</v>
      </c>
    </row>
    <row r="1053" spans="23:24">
      <c r="W1053" s="7" t="s">
        <v>11</v>
      </c>
      <c r="X1053" s="7" t="s">
        <v>1553</v>
      </c>
    </row>
    <row r="1054" spans="23:24">
      <c r="W1054" s="7" t="s">
        <v>11</v>
      </c>
      <c r="X1054" s="7" t="s">
        <v>1554</v>
      </c>
    </row>
    <row r="1055" spans="23:24">
      <c r="W1055" s="7" t="s">
        <v>11</v>
      </c>
      <c r="X1055" s="7" t="s">
        <v>1555</v>
      </c>
    </row>
    <row r="1056" spans="23:24">
      <c r="W1056" s="7" t="s">
        <v>11</v>
      </c>
      <c r="X1056" s="7" t="s">
        <v>1556</v>
      </c>
    </row>
    <row r="1057" spans="23:24">
      <c r="W1057" s="7" t="s">
        <v>11</v>
      </c>
      <c r="X1057" s="7" t="s">
        <v>1557</v>
      </c>
    </row>
    <row r="1058" spans="23:24">
      <c r="W1058" s="7" t="s">
        <v>11</v>
      </c>
      <c r="X1058" s="7" t="s">
        <v>1558</v>
      </c>
    </row>
    <row r="1059" spans="23:24">
      <c r="W1059" s="7" t="s">
        <v>11</v>
      </c>
      <c r="X1059" s="7" t="s">
        <v>1559</v>
      </c>
    </row>
    <row r="1060" spans="23:24">
      <c r="W1060" s="7" t="s">
        <v>11</v>
      </c>
      <c r="X1060" s="7" t="s">
        <v>1560</v>
      </c>
    </row>
    <row r="1061" spans="23:24">
      <c r="W1061" s="7" t="s">
        <v>11</v>
      </c>
      <c r="X1061" s="7" t="s">
        <v>1561</v>
      </c>
    </row>
    <row r="1062" spans="23:24">
      <c r="W1062" s="7" t="s">
        <v>11</v>
      </c>
      <c r="X1062" s="7" t="s">
        <v>1562</v>
      </c>
    </row>
    <row r="1063" spans="23:24">
      <c r="W1063" s="7" t="s">
        <v>11</v>
      </c>
      <c r="X1063" s="7" t="s">
        <v>1563</v>
      </c>
    </row>
    <row r="1064" spans="23:24">
      <c r="W1064" s="7" t="s">
        <v>11</v>
      </c>
      <c r="X1064" s="7" t="s">
        <v>1564</v>
      </c>
    </row>
    <row r="1065" spans="23:24">
      <c r="W1065" s="7" t="s">
        <v>11</v>
      </c>
      <c r="X1065" s="7" t="s">
        <v>1565</v>
      </c>
    </row>
    <row r="1066" spans="23:24">
      <c r="W1066" s="7" t="s">
        <v>11</v>
      </c>
      <c r="X1066" s="7" t="s">
        <v>1566</v>
      </c>
    </row>
    <row r="1067" spans="23:24">
      <c r="W1067" s="7" t="s">
        <v>11</v>
      </c>
      <c r="X1067" s="7" t="s">
        <v>1567</v>
      </c>
    </row>
    <row r="1068" spans="23:24">
      <c r="W1068" s="7" t="s">
        <v>11</v>
      </c>
      <c r="X1068" s="7" t="s">
        <v>1568</v>
      </c>
    </row>
    <row r="1069" spans="23:24">
      <c r="W1069" s="7" t="s">
        <v>11</v>
      </c>
      <c r="X1069" s="7" t="s">
        <v>1569</v>
      </c>
    </row>
    <row r="1070" spans="23:24">
      <c r="W1070" s="7" t="s">
        <v>11</v>
      </c>
      <c r="X1070" s="7" t="s">
        <v>1570</v>
      </c>
    </row>
    <row r="1071" spans="23:24">
      <c r="W1071" s="7" t="s">
        <v>11</v>
      </c>
      <c r="X1071" s="7" t="s">
        <v>1571</v>
      </c>
    </row>
    <row r="1072" spans="23:24">
      <c r="W1072" s="7" t="s">
        <v>11</v>
      </c>
      <c r="X1072" s="7" t="s">
        <v>1572</v>
      </c>
    </row>
    <row r="1073" spans="23:24">
      <c r="W1073" s="7" t="s">
        <v>11</v>
      </c>
      <c r="X1073" s="7" t="s">
        <v>1573</v>
      </c>
    </row>
    <row r="1074" spans="23:24">
      <c r="W1074" s="7" t="s">
        <v>11</v>
      </c>
      <c r="X1074" s="7" t="s">
        <v>1574</v>
      </c>
    </row>
    <row r="1075" spans="23:24">
      <c r="W1075" s="7" t="s">
        <v>11</v>
      </c>
      <c r="X1075" s="7" t="s">
        <v>1575</v>
      </c>
    </row>
    <row r="1076" spans="23:24">
      <c r="W1076" s="7" t="s">
        <v>11</v>
      </c>
      <c r="X1076" s="7" t="s">
        <v>1576</v>
      </c>
    </row>
    <row r="1077" spans="23:24">
      <c r="W1077" s="7" t="s">
        <v>11</v>
      </c>
      <c r="X1077" s="7" t="s">
        <v>1577</v>
      </c>
    </row>
    <row r="1078" spans="23:24">
      <c r="W1078" s="7" t="s">
        <v>11</v>
      </c>
      <c r="X1078" s="7" t="s">
        <v>1578</v>
      </c>
    </row>
    <row r="1079" spans="23:24">
      <c r="W1079" s="7" t="s">
        <v>11</v>
      </c>
      <c r="X1079" s="7" t="s">
        <v>1579</v>
      </c>
    </row>
    <row r="1080" spans="23:24">
      <c r="W1080" s="7" t="s">
        <v>11</v>
      </c>
      <c r="X1080" s="7" t="s">
        <v>1580</v>
      </c>
    </row>
    <row r="1081" spans="23:24">
      <c r="W1081" s="7" t="s">
        <v>11</v>
      </c>
      <c r="X1081" s="7" t="s">
        <v>1581</v>
      </c>
    </row>
    <row r="1082" spans="23:24">
      <c r="W1082" s="7" t="s">
        <v>11</v>
      </c>
      <c r="X1082" s="7" t="s">
        <v>1582</v>
      </c>
    </row>
    <row r="1083" spans="23:24">
      <c r="W1083" s="7" t="s">
        <v>11</v>
      </c>
      <c r="X1083" s="7" t="s">
        <v>1583</v>
      </c>
    </row>
    <row r="1084" spans="23:24">
      <c r="W1084" s="7" t="s">
        <v>11</v>
      </c>
      <c r="X1084" s="7" t="s">
        <v>1584</v>
      </c>
    </row>
    <row r="1085" spans="23:24">
      <c r="W1085" s="7" t="s">
        <v>11</v>
      </c>
      <c r="X1085" s="7" t="s">
        <v>1585</v>
      </c>
    </row>
    <row r="1086" spans="23:24">
      <c r="W1086" s="7" t="s">
        <v>11</v>
      </c>
      <c r="X1086" s="7" t="s">
        <v>1586</v>
      </c>
    </row>
    <row r="1087" spans="23:24">
      <c r="W1087" s="7" t="s">
        <v>11</v>
      </c>
      <c r="X1087" s="7" t="s">
        <v>1587</v>
      </c>
    </row>
    <row r="1088" spans="23:24">
      <c r="W1088" s="7" t="s">
        <v>11</v>
      </c>
      <c r="X1088" s="7" t="s">
        <v>1588</v>
      </c>
    </row>
    <row r="1089" spans="23:24">
      <c r="W1089" s="7" t="s">
        <v>11</v>
      </c>
      <c r="X1089" s="7" t="s">
        <v>1589</v>
      </c>
    </row>
    <row r="1090" spans="23:24">
      <c r="W1090" s="7" t="s">
        <v>11</v>
      </c>
      <c r="X1090" s="7" t="s">
        <v>1590</v>
      </c>
    </row>
    <row r="1091" spans="23:24">
      <c r="W1091" s="7" t="s">
        <v>11</v>
      </c>
      <c r="X1091" s="7" t="s">
        <v>1591</v>
      </c>
    </row>
    <row r="1092" spans="23:24">
      <c r="W1092" s="7" t="s">
        <v>11</v>
      </c>
      <c r="X1092" s="7" t="s">
        <v>1592</v>
      </c>
    </row>
    <row r="1093" spans="23:24">
      <c r="W1093" s="7" t="s">
        <v>11</v>
      </c>
      <c r="X1093" s="7" t="s">
        <v>1593</v>
      </c>
    </row>
    <row r="1094" spans="23:24">
      <c r="W1094" s="7" t="s">
        <v>11</v>
      </c>
      <c r="X1094" s="7" t="s">
        <v>1594</v>
      </c>
    </row>
    <row r="1095" spans="23:24">
      <c r="W1095" s="7" t="s">
        <v>11</v>
      </c>
      <c r="X1095" s="7" t="s">
        <v>1595</v>
      </c>
    </row>
    <row r="1096" spans="23:24">
      <c r="W1096" s="7" t="s">
        <v>11</v>
      </c>
      <c r="X1096" s="7" t="s">
        <v>1596</v>
      </c>
    </row>
    <row r="1097" spans="23:24">
      <c r="W1097" s="7" t="s">
        <v>11</v>
      </c>
      <c r="X1097" s="7" t="s">
        <v>1597</v>
      </c>
    </row>
    <row r="1098" spans="23:24">
      <c r="W1098" s="7" t="s">
        <v>11</v>
      </c>
      <c r="X1098" s="7" t="s">
        <v>1598</v>
      </c>
    </row>
    <row r="1099" spans="23:24">
      <c r="W1099" s="7" t="s">
        <v>11</v>
      </c>
      <c r="X1099" s="7" t="s">
        <v>1599</v>
      </c>
    </row>
  </sheetData>
  <mergeCells count="1">
    <mergeCell ref="A1:B1"/>
  </mergeCells>
  <conditionalFormatting sqref="X1:X79">
    <cfRule type="duplicateValues" dxfId="3" priority="1"/>
  </conditionalFormatting>
  <pageMargins left="0.5" right="0.5" top="1" bottom="1" header="0.5" footer="0.5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3" sqref="F3"/>
    </sheetView>
  </sheetViews>
  <sheetFormatPr defaultColWidth="9.140625" defaultRowHeight="12.75"/>
  <cols>
    <col min="1" max="1" width="12.140625" style="7" customWidth="1"/>
    <col min="2" max="2" width="14.42578125" style="7" customWidth="1"/>
    <col min="3" max="16384" width="9.140625" style="7"/>
  </cols>
  <sheetData>
    <row r="1" spans="1:3" ht="25.5">
      <c r="A1" s="37" t="s">
        <v>1600</v>
      </c>
    </row>
    <row r="3" spans="1:3">
      <c r="A3" s="7" t="s">
        <v>6</v>
      </c>
      <c r="B3" s="7" t="s">
        <v>70</v>
      </c>
      <c r="C3" s="7" t="s">
        <v>1601</v>
      </c>
    </row>
    <row r="4" spans="1:3">
      <c r="A4" s="7" t="s">
        <v>6</v>
      </c>
      <c r="B4" s="7" t="s">
        <v>61</v>
      </c>
      <c r="C4" s="7" t="s">
        <v>1602</v>
      </c>
    </row>
    <row r="5" spans="1:3">
      <c r="A5" s="7" t="s">
        <v>6</v>
      </c>
      <c r="B5" s="7" t="s">
        <v>87</v>
      </c>
      <c r="C5" s="7" t="s">
        <v>1603</v>
      </c>
    </row>
    <row r="6" spans="1:3">
      <c r="A6" s="7" t="s">
        <v>6</v>
      </c>
      <c r="B6" s="7" t="s">
        <v>93</v>
      </c>
      <c r="C6" s="7" t="s">
        <v>1604</v>
      </c>
    </row>
    <row r="7" spans="1:3">
      <c r="A7" s="7" t="s">
        <v>6</v>
      </c>
      <c r="B7" s="7" t="s">
        <v>99</v>
      </c>
      <c r="C7" s="7" t="s">
        <v>1605</v>
      </c>
    </row>
  </sheetData>
  <hyperlinks>
    <hyperlink ref="A1" location="Одежда!A1" display="НАЗАД→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73"/>
  <sheetViews>
    <sheetView topLeftCell="D1" workbookViewId="0">
      <selection activeCell="F3" sqref="F3"/>
    </sheetView>
  </sheetViews>
  <sheetFormatPr defaultColWidth="9.140625" defaultRowHeight="12.75"/>
  <cols>
    <col min="1" max="4" width="9.140625" style="42"/>
    <col min="5" max="5" width="3.7109375" style="53" customWidth="1"/>
    <col min="6" max="6" width="10.85546875" style="42" customWidth="1"/>
    <col min="7" max="7" width="5.42578125" style="38" customWidth="1"/>
    <col min="8" max="8" width="3.140625" style="42" customWidth="1"/>
    <col min="9" max="9" width="13.85546875" style="42" customWidth="1"/>
    <col min="10" max="10" width="2.42578125" style="42" customWidth="1"/>
    <col min="11" max="11" width="22.85546875" style="42" customWidth="1"/>
    <col min="12" max="12" width="26" style="43" customWidth="1"/>
    <col min="13" max="13" width="18.7109375" style="43" customWidth="1"/>
    <col min="14" max="14" width="19.140625" style="54" customWidth="1"/>
    <col min="15" max="16384" width="9.140625" style="42"/>
  </cols>
  <sheetData>
    <row r="1" spans="1:63" s="67" customForma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9" t="s">
        <v>1606</v>
      </c>
      <c r="M1" s="40" t="s">
        <v>1607</v>
      </c>
      <c r="N1" s="40" t="s">
        <v>1608</v>
      </c>
    </row>
    <row r="2" spans="1:63" ht="15" customHeight="1">
      <c r="E2" s="42"/>
      <c r="G2" s="42"/>
      <c r="I2" s="38"/>
      <c r="J2" s="38"/>
      <c r="M2" s="44" t="s">
        <v>1609</v>
      </c>
      <c r="N2" s="43" t="s">
        <v>1610</v>
      </c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</row>
    <row r="3" spans="1:63" ht="12.75" customHeight="1">
      <c r="E3" s="42"/>
      <c r="G3" s="42"/>
      <c r="I3" s="38"/>
      <c r="J3" s="38"/>
      <c r="K3" s="45" t="s">
        <v>1611</v>
      </c>
      <c r="L3" s="46" t="s">
        <v>2</v>
      </c>
      <c r="N3" s="41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</row>
    <row r="4" spans="1:63" ht="12.75" customHeight="1">
      <c r="E4" s="42"/>
      <c r="G4" s="42"/>
      <c r="I4" s="38"/>
      <c r="J4" s="38"/>
      <c r="N4" s="41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</row>
    <row r="5" spans="1:63" ht="12.75" customHeight="1">
      <c r="E5" s="42"/>
      <c r="G5" s="42"/>
      <c r="I5" s="38"/>
      <c r="J5" s="38"/>
      <c r="N5" s="41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</row>
    <row r="6" spans="1:63" ht="12.75" customHeight="1">
      <c r="E6" s="42"/>
      <c r="G6" s="42"/>
      <c r="I6" s="38"/>
      <c r="J6" s="38"/>
      <c r="N6" s="41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</row>
    <row r="7" spans="1:63" ht="12.75" customHeight="1">
      <c r="E7" s="42"/>
      <c r="G7" s="42"/>
      <c r="I7" s="38"/>
      <c r="J7" s="38"/>
      <c r="N7" s="41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</row>
    <row r="8" spans="1:63" ht="12.75" customHeight="1">
      <c r="E8" s="42"/>
      <c r="G8" s="42"/>
      <c r="I8" s="38"/>
      <c r="J8" s="38"/>
      <c r="K8" s="45"/>
      <c r="N8" s="41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</row>
    <row r="9" spans="1:63" ht="12.75" customHeight="1">
      <c r="E9" s="42"/>
      <c r="G9" s="42"/>
      <c r="I9" s="38"/>
      <c r="J9" s="38"/>
      <c r="K9" s="45"/>
      <c r="N9" s="41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</row>
    <row r="10" spans="1:63" ht="12.75" customHeight="1">
      <c r="E10" s="42"/>
      <c r="G10" s="42"/>
      <c r="I10" s="38"/>
      <c r="J10" s="38"/>
      <c r="N10" s="41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</row>
    <row r="11" spans="1:63" ht="14.25" customHeight="1">
      <c r="E11" s="42"/>
      <c r="G11" s="42"/>
      <c r="I11" s="38"/>
      <c r="J11" s="38"/>
      <c r="N11" s="41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</row>
    <row r="12" spans="1:63" ht="14.25" customHeight="1">
      <c r="E12" s="42"/>
      <c r="G12" s="42"/>
      <c r="I12" s="38"/>
      <c r="J12" s="38"/>
      <c r="N12" s="41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</row>
    <row r="13" spans="1:63" ht="12.75" customHeight="1">
      <c r="E13" s="42"/>
      <c r="G13" s="42"/>
      <c r="I13" s="38"/>
      <c r="J13" s="38"/>
      <c r="N13" s="41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</row>
    <row r="14" spans="1:63" ht="12.75" customHeight="1">
      <c r="E14" s="42"/>
      <c r="G14" s="42"/>
      <c r="I14" s="38"/>
      <c r="J14" s="38"/>
      <c r="N14" s="41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</row>
    <row r="15" spans="1:63" ht="12.75" customHeight="1">
      <c r="E15" s="42"/>
      <c r="G15" s="42"/>
      <c r="I15" s="38"/>
      <c r="J15" s="38"/>
      <c r="N15" s="41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</row>
    <row r="16" spans="1:63" ht="12.75" customHeight="1">
      <c r="E16" s="42"/>
      <c r="G16" s="42"/>
      <c r="I16" s="38"/>
      <c r="J16" s="38"/>
      <c r="N16" s="41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</row>
    <row r="17" spans="1:63" ht="12.75" customHeight="1">
      <c r="E17" s="42"/>
      <c r="G17" s="42"/>
      <c r="I17" s="38"/>
      <c r="J17" s="38"/>
      <c r="N17" s="41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</row>
    <row r="18" spans="1:63" ht="12.75" customHeight="1">
      <c r="E18" s="42"/>
      <c r="G18" s="42"/>
      <c r="I18" s="38"/>
      <c r="J18" s="38"/>
      <c r="N18" s="41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</row>
    <row r="19" spans="1:63" ht="12.75" customHeight="1">
      <c r="E19" s="42"/>
      <c r="G19" s="42"/>
      <c r="I19" s="38"/>
      <c r="J19" s="38"/>
      <c r="N19" s="41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</row>
    <row r="20" spans="1:63" ht="12.75" customHeight="1">
      <c r="E20" s="42"/>
      <c r="G20" s="42"/>
      <c r="I20" s="38"/>
      <c r="J20" s="38"/>
      <c r="K20" s="47"/>
      <c r="N20" s="42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</row>
    <row r="21" spans="1:63">
      <c r="A21" s="38"/>
      <c r="B21" s="38"/>
      <c r="C21" s="38"/>
      <c r="D21" s="38"/>
      <c r="E21" s="38"/>
      <c r="F21" s="38"/>
      <c r="H21" s="38"/>
      <c r="I21" s="38"/>
      <c r="J21" s="38"/>
      <c r="K21" s="38"/>
      <c r="L21" s="38"/>
      <c r="M21" s="40"/>
      <c r="N21" s="48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</row>
    <row r="22" spans="1:63" ht="15" customHeight="1">
      <c r="E22" s="42"/>
      <c r="G22" s="42"/>
      <c r="I22" s="38"/>
      <c r="J22" s="38"/>
      <c r="M22" s="44" t="s">
        <v>1612</v>
      </c>
      <c r="N22" s="43" t="s">
        <v>1610</v>
      </c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</row>
    <row r="23" spans="1:63">
      <c r="E23" s="42"/>
      <c r="G23" s="42"/>
      <c r="I23" s="38"/>
      <c r="J23" s="38"/>
      <c r="K23" s="45" t="s">
        <v>1611</v>
      </c>
      <c r="L23" s="46" t="s">
        <v>2</v>
      </c>
      <c r="N23" s="41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</row>
    <row r="24" spans="1:63">
      <c r="E24" s="42"/>
      <c r="G24" s="42"/>
      <c r="I24" s="38"/>
      <c r="J24" s="38"/>
      <c r="N24" s="41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</row>
    <row r="25" spans="1:63">
      <c r="E25" s="42"/>
      <c r="G25" s="42"/>
      <c r="I25" s="38"/>
      <c r="J25" s="38"/>
      <c r="N25" s="41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</row>
    <row r="26" spans="1:63">
      <c r="E26" s="42"/>
      <c r="G26" s="42"/>
      <c r="I26" s="38"/>
      <c r="J26" s="38"/>
      <c r="N26" s="41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</row>
    <row r="27" spans="1:63">
      <c r="E27" s="42"/>
      <c r="G27" s="42"/>
      <c r="I27" s="38"/>
      <c r="J27" s="38"/>
      <c r="N27" s="41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</row>
    <row r="28" spans="1:63">
      <c r="E28" s="42"/>
      <c r="G28" s="42"/>
      <c r="I28" s="38"/>
      <c r="J28" s="38"/>
      <c r="K28" s="45"/>
      <c r="N28" s="41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</row>
    <row r="29" spans="1:63">
      <c r="E29" s="42"/>
      <c r="G29" s="42"/>
      <c r="I29" s="38"/>
      <c r="J29" s="38"/>
      <c r="K29" s="45"/>
      <c r="N29" s="41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</row>
    <row r="30" spans="1:63">
      <c r="E30" s="42"/>
      <c r="G30" s="42"/>
      <c r="I30" s="38"/>
      <c r="J30" s="38"/>
      <c r="N30" s="41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</row>
    <row r="31" spans="1:63">
      <c r="E31" s="42"/>
      <c r="G31" s="42"/>
      <c r="I31" s="38"/>
      <c r="J31" s="38"/>
      <c r="N31" s="41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</row>
    <row r="32" spans="1:63">
      <c r="E32" s="42"/>
      <c r="G32" s="42"/>
      <c r="I32" s="38"/>
      <c r="J32" s="38"/>
      <c r="N32" s="41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</row>
    <row r="33" spans="1:63">
      <c r="E33" s="42"/>
      <c r="G33" s="42"/>
      <c r="I33" s="38"/>
      <c r="J33" s="38"/>
      <c r="N33" s="41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</row>
    <row r="34" spans="1:63">
      <c r="E34" s="42"/>
      <c r="G34" s="42"/>
      <c r="I34" s="38"/>
      <c r="J34" s="38"/>
      <c r="N34" s="41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</row>
    <row r="35" spans="1:63">
      <c r="E35" s="42"/>
      <c r="G35" s="42"/>
      <c r="I35" s="38"/>
      <c r="J35" s="38"/>
      <c r="N35" s="41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</row>
    <row r="36" spans="1:63">
      <c r="E36" s="42"/>
      <c r="G36" s="42"/>
      <c r="I36" s="38"/>
      <c r="J36" s="38"/>
      <c r="N36" s="41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</row>
    <row r="37" spans="1:63">
      <c r="E37" s="42"/>
      <c r="G37" s="42"/>
      <c r="I37" s="38"/>
      <c r="J37" s="38"/>
      <c r="N37" s="41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</row>
    <row r="38" spans="1:63">
      <c r="E38" s="42"/>
      <c r="G38" s="42"/>
      <c r="I38" s="38"/>
      <c r="J38" s="38"/>
      <c r="N38" s="41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</row>
    <row r="39" spans="1:63">
      <c r="E39" s="42"/>
      <c r="G39" s="42"/>
      <c r="I39" s="38"/>
      <c r="J39" s="38"/>
      <c r="N39" s="41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</row>
    <row r="40" spans="1:63">
      <c r="A40" s="38"/>
      <c r="B40" s="38"/>
      <c r="C40" s="38"/>
      <c r="D40" s="38"/>
      <c r="E40" s="38"/>
      <c r="F40" s="38"/>
      <c r="H40" s="38"/>
      <c r="I40" s="38"/>
      <c r="J40" s="38"/>
      <c r="K40" s="38"/>
      <c r="L40" s="38"/>
      <c r="M40" s="40"/>
      <c r="N40" s="48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</row>
    <row r="41" spans="1:63">
      <c r="E41" s="42"/>
      <c r="G41" s="42"/>
      <c r="I41" s="38"/>
      <c r="J41" s="38"/>
      <c r="M41" s="44" t="s">
        <v>1613</v>
      </c>
      <c r="N41" s="43" t="s">
        <v>1610</v>
      </c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</row>
    <row r="42" spans="1:63">
      <c r="E42" s="42"/>
      <c r="G42" s="42"/>
      <c r="I42" s="38"/>
      <c r="J42" s="38"/>
      <c r="K42" s="45" t="s">
        <v>1611</v>
      </c>
      <c r="L42" s="46" t="s">
        <v>2</v>
      </c>
      <c r="N42" s="41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</row>
    <row r="43" spans="1:63">
      <c r="E43" s="42"/>
      <c r="G43" s="42"/>
      <c r="I43" s="38"/>
      <c r="J43" s="38"/>
      <c r="N43" s="41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</row>
    <row r="44" spans="1:63">
      <c r="E44" s="42"/>
      <c r="G44" s="42"/>
      <c r="I44" s="38"/>
      <c r="J44" s="38"/>
      <c r="N44" s="41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</row>
    <row r="45" spans="1:63">
      <c r="E45" s="42"/>
      <c r="G45" s="42"/>
      <c r="I45" s="38"/>
      <c r="J45" s="38"/>
      <c r="N45" s="41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</row>
    <row r="46" spans="1:63">
      <c r="E46" s="42"/>
      <c r="G46" s="42"/>
      <c r="I46" s="38"/>
      <c r="J46" s="38"/>
      <c r="N46" s="41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</row>
    <row r="47" spans="1:63">
      <c r="E47" s="42"/>
      <c r="G47" s="42"/>
      <c r="I47" s="38"/>
      <c r="J47" s="38"/>
      <c r="K47" s="45"/>
      <c r="N47" s="41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</row>
    <row r="48" spans="1:63">
      <c r="E48" s="42"/>
      <c r="G48" s="42"/>
      <c r="I48" s="38"/>
      <c r="J48" s="38"/>
      <c r="K48" s="45"/>
      <c r="N48" s="41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</row>
    <row r="49" spans="1:63">
      <c r="E49" s="42"/>
      <c r="G49" s="42"/>
      <c r="I49" s="38"/>
      <c r="J49" s="38"/>
      <c r="N49" s="41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</row>
    <row r="50" spans="1:63">
      <c r="E50" s="42"/>
      <c r="G50" s="42"/>
      <c r="I50" s="38"/>
      <c r="J50" s="38"/>
      <c r="N50" s="41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</row>
    <row r="51" spans="1:63">
      <c r="E51" s="42"/>
      <c r="G51" s="42"/>
      <c r="I51" s="38"/>
      <c r="J51" s="38"/>
      <c r="N51" s="41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</row>
    <row r="52" spans="1:63">
      <c r="E52" s="42"/>
      <c r="G52" s="42"/>
      <c r="I52" s="38"/>
      <c r="J52" s="38"/>
      <c r="N52" s="41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</row>
    <row r="53" spans="1:63">
      <c r="E53" s="42"/>
      <c r="G53" s="42"/>
      <c r="I53" s="38"/>
      <c r="J53" s="38"/>
      <c r="N53" s="41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</row>
    <row r="54" spans="1:63">
      <c r="E54" s="42"/>
      <c r="G54" s="42"/>
      <c r="I54" s="38"/>
      <c r="J54" s="38"/>
      <c r="N54" s="41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</row>
    <row r="55" spans="1:63">
      <c r="E55" s="42"/>
      <c r="G55" s="42"/>
      <c r="I55" s="38"/>
      <c r="J55" s="38"/>
      <c r="N55" s="41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</row>
    <row r="56" spans="1:63">
      <c r="E56" s="42"/>
      <c r="G56" s="42"/>
      <c r="I56" s="38"/>
      <c r="J56" s="38"/>
      <c r="N56" s="41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</row>
    <row r="57" spans="1:63">
      <c r="E57" s="42"/>
      <c r="G57" s="42"/>
      <c r="I57" s="38"/>
      <c r="J57" s="38"/>
      <c r="N57" s="41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</row>
    <row r="58" spans="1:63">
      <c r="E58" s="42"/>
      <c r="G58" s="42"/>
      <c r="I58" s="38"/>
      <c r="J58" s="38"/>
      <c r="N58" s="41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</row>
    <row r="59" spans="1:63">
      <c r="E59" s="42"/>
      <c r="G59" s="42"/>
      <c r="I59" s="38"/>
      <c r="J59" s="38"/>
      <c r="N59" s="41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</row>
    <row r="60" spans="1:63">
      <c r="E60" s="42"/>
      <c r="G60" s="42"/>
      <c r="I60" s="38"/>
      <c r="J60" s="38"/>
      <c r="N60" s="41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</row>
    <row r="61" spans="1:63">
      <c r="A61" s="38"/>
      <c r="B61" s="38"/>
      <c r="C61" s="38"/>
      <c r="D61" s="38"/>
      <c r="E61" s="38"/>
      <c r="F61" s="38"/>
      <c r="H61" s="38"/>
      <c r="I61" s="38"/>
      <c r="J61" s="38"/>
      <c r="K61" s="38"/>
      <c r="L61" s="38"/>
      <c r="M61" s="40"/>
      <c r="N61" s="48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</row>
    <row r="62" spans="1:63">
      <c r="E62" s="42"/>
      <c r="G62" s="42"/>
      <c r="I62" s="38"/>
      <c r="J62" s="38"/>
      <c r="K62" s="45"/>
      <c r="M62" s="44" t="s">
        <v>1614</v>
      </c>
      <c r="N62" s="43" t="s">
        <v>1610</v>
      </c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</row>
    <row r="63" spans="1:63">
      <c r="E63" s="42"/>
      <c r="G63" s="42"/>
      <c r="I63" s="38"/>
      <c r="J63" s="38"/>
      <c r="K63" s="45" t="s">
        <v>1611</v>
      </c>
      <c r="L63" s="46" t="s">
        <v>2</v>
      </c>
      <c r="N63" s="43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</row>
    <row r="64" spans="1:63">
      <c r="E64" s="42"/>
      <c r="G64" s="42"/>
      <c r="I64" s="38"/>
      <c r="J64" s="38"/>
      <c r="K64" s="45"/>
      <c r="N64" s="43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</row>
    <row r="65" spans="5:63">
      <c r="E65" s="42"/>
      <c r="G65" s="42"/>
      <c r="I65" s="38"/>
      <c r="J65" s="38"/>
      <c r="K65" s="45"/>
      <c r="N65" s="43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</row>
    <row r="66" spans="5:63">
      <c r="E66" s="42"/>
      <c r="G66" s="42"/>
      <c r="I66" s="38"/>
      <c r="J66" s="38"/>
      <c r="K66" s="45"/>
      <c r="N66" s="43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</row>
    <row r="67" spans="5:63">
      <c r="E67" s="42"/>
      <c r="G67" s="42"/>
      <c r="I67" s="38"/>
      <c r="J67" s="38"/>
      <c r="K67" s="45"/>
      <c r="N67" s="43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</row>
    <row r="68" spans="5:63">
      <c r="E68" s="42"/>
      <c r="G68" s="42"/>
      <c r="I68" s="38"/>
      <c r="J68" s="38"/>
      <c r="K68" s="45"/>
      <c r="N68" s="43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</row>
    <row r="69" spans="5:63">
      <c r="E69" s="42"/>
      <c r="G69" s="42"/>
      <c r="I69" s="38"/>
      <c r="J69" s="38"/>
      <c r="K69" s="45"/>
      <c r="N69" s="43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</row>
    <row r="70" spans="5:63">
      <c r="E70" s="42"/>
      <c r="G70" s="42"/>
      <c r="I70" s="38"/>
      <c r="J70" s="38"/>
      <c r="K70" s="45"/>
      <c r="N70" s="43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</row>
    <row r="71" spans="5:63">
      <c r="E71" s="42"/>
      <c r="G71" s="42"/>
      <c r="I71" s="38"/>
      <c r="J71" s="38"/>
      <c r="K71" s="45"/>
      <c r="N71" s="43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</row>
    <row r="72" spans="5:63">
      <c r="E72" s="42"/>
      <c r="G72" s="42"/>
      <c r="I72" s="38"/>
      <c r="J72" s="38"/>
      <c r="K72" s="45"/>
      <c r="N72" s="43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</row>
    <row r="73" spans="5:63">
      <c r="E73" s="42"/>
      <c r="G73" s="42"/>
      <c r="I73" s="38"/>
      <c r="J73" s="38"/>
      <c r="K73" s="45"/>
      <c r="N73" s="43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</row>
    <row r="74" spans="5:63">
      <c r="E74" s="42"/>
      <c r="G74" s="42"/>
      <c r="I74" s="38"/>
      <c r="J74" s="38"/>
      <c r="K74" s="45"/>
      <c r="N74" s="43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</row>
    <row r="75" spans="5:63">
      <c r="E75" s="42"/>
      <c r="G75" s="42"/>
      <c r="I75" s="38"/>
      <c r="J75" s="38"/>
      <c r="K75" s="45"/>
      <c r="N75" s="43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</row>
    <row r="76" spans="5:63">
      <c r="E76" s="42"/>
      <c r="G76" s="42"/>
      <c r="I76" s="38"/>
      <c r="J76" s="38"/>
      <c r="K76" s="45"/>
      <c r="N76" s="43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</row>
    <row r="77" spans="5:63">
      <c r="E77" s="42"/>
      <c r="G77" s="42"/>
      <c r="I77" s="38"/>
      <c r="J77" s="38"/>
      <c r="K77" s="45"/>
      <c r="N77" s="43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</row>
    <row r="78" spans="5:63">
      <c r="E78" s="42"/>
      <c r="G78" s="42"/>
      <c r="I78" s="38"/>
      <c r="J78" s="38"/>
      <c r="K78" s="45"/>
      <c r="N78" s="43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</row>
    <row r="79" spans="5:63">
      <c r="E79" s="42"/>
      <c r="G79" s="42"/>
      <c r="I79" s="38"/>
      <c r="J79" s="38"/>
      <c r="K79" s="45"/>
      <c r="N79" s="43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</row>
    <row r="80" spans="5:63">
      <c r="E80" s="42"/>
      <c r="G80" s="42"/>
      <c r="I80" s="38"/>
      <c r="J80" s="38"/>
      <c r="N80" s="41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</row>
    <row r="81" spans="1:63">
      <c r="E81" s="42"/>
      <c r="G81" s="42"/>
      <c r="I81" s="38"/>
      <c r="J81" s="38"/>
      <c r="N81" s="41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</row>
    <row r="82" spans="1:63">
      <c r="A82" s="38"/>
      <c r="B82" s="38"/>
      <c r="C82" s="38"/>
      <c r="D82" s="38"/>
      <c r="E82" s="38"/>
      <c r="F82" s="38"/>
      <c r="H82" s="38"/>
      <c r="I82" s="38"/>
      <c r="J82" s="38"/>
      <c r="K82" s="38"/>
      <c r="L82" s="38"/>
      <c r="M82" s="40"/>
      <c r="N82" s="48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</row>
    <row r="83" spans="1:63">
      <c r="E83" s="42"/>
      <c r="G83" s="42"/>
      <c r="I83" s="38"/>
      <c r="J83" s="38"/>
      <c r="K83" s="45"/>
      <c r="M83" s="44" t="s">
        <v>1615</v>
      </c>
      <c r="N83" s="43" t="s">
        <v>1616</v>
      </c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</row>
    <row r="84" spans="1:63">
      <c r="E84" s="42"/>
      <c r="G84" s="42"/>
      <c r="I84" s="38"/>
      <c r="J84" s="38"/>
      <c r="K84" s="45" t="s">
        <v>1611</v>
      </c>
      <c r="L84" s="46" t="s">
        <v>2</v>
      </c>
      <c r="N84" s="43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</row>
    <row r="85" spans="1:63">
      <c r="E85" s="42"/>
      <c r="G85" s="42"/>
      <c r="I85" s="38"/>
      <c r="J85" s="38"/>
      <c r="K85" s="45"/>
      <c r="N85" s="43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</row>
    <row r="86" spans="1:63">
      <c r="E86" s="42"/>
      <c r="G86" s="42"/>
      <c r="I86" s="38"/>
      <c r="J86" s="38"/>
      <c r="K86" s="45"/>
      <c r="N86" s="43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</row>
    <row r="87" spans="1:63">
      <c r="E87" s="42"/>
      <c r="G87" s="42"/>
      <c r="I87" s="38"/>
      <c r="J87" s="38"/>
      <c r="K87" s="45"/>
      <c r="N87" s="43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</row>
    <row r="88" spans="1:63">
      <c r="E88" s="42"/>
      <c r="G88" s="42"/>
      <c r="I88" s="38"/>
      <c r="J88" s="38"/>
      <c r="K88" s="45"/>
      <c r="N88" s="43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</row>
    <row r="89" spans="1:63">
      <c r="E89" s="42"/>
      <c r="G89" s="42"/>
      <c r="I89" s="38"/>
      <c r="J89" s="38"/>
      <c r="K89" s="45"/>
      <c r="N89" s="43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</row>
    <row r="90" spans="1:63">
      <c r="E90" s="42"/>
      <c r="G90" s="42"/>
      <c r="I90" s="38"/>
      <c r="J90" s="38"/>
      <c r="K90" s="45"/>
      <c r="N90" s="43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</row>
    <row r="91" spans="1:63">
      <c r="E91" s="42"/>
      <c r="G91" s="42"/>
      <c r="I91" s="38"/>
      <c r="J91" s="38"/>
      <c r="K91" s="45"/>
      <c r="N91" s="43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</row>
    <row r="92" spans="1:63">
      <c r="E92" s="42"/>
      <c r="G92" s="42"/>
      <c r="I92" s="38"/>
      <c r="J92" s="38"/>
      <c r="K92" s="45"/>
      <c r="N92" s="43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</row>
    <row r="93" spans="1:63">
      <c r="E93" s="42"/>
      <c r="G93" s="42"/>
      <c r="I93" s="38"/>
      <c r="J93" s="38"/>
      <c r="K93" s="45"/>
      <c r="N93" s="43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</row>
    <row r="94" spans="1:63">
      <c r="E94" s="42"/>
      <c r="G94" s="42"/>
      <c r="I94" s="38"/>
      <c r="J94" s="38"/>
      <c r="K94" s="45"/>
      <c r="N94" s="43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</row>
    <row r="95" spans="1:63">
      <c r="E95" s="42"/>
      <c r="G95" s="42"/>
      <c r="I95" s="38"/>
      <c r="J95" s="38"/>
      <c r="K95" s="45"/>
      <c r="N95" s="43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</row>
    <row r="96" spans="1:63">
      <c r="E96" s="42"/>
      <c r="G96" s="42"/>
      <c r="I96" s="38"/>
      <c r="J96" s="38"/>
      <c r="K96" s="45"/>
      <c r="N96" s="43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</row>
    <row r="97" spans="1:63">
      <c r="E97" s="42"/>
      <c r="G97" s="42"/>
      <c r="I97" s="38"/>
      <c r="J97" s="38"/>
      <c r="K97" s="45"/>
      <c r="N97" s="43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</row>
    <row r="98" spans="1:63">
      <c r="E98" s="42"/>
      <c r="G98" s="42"/>
      <c r="I98" s="38"/>
      <c r="J98" s="38"/>
      <c r="K98" s="45"/>
      <c r="N98" s="43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</row>
    <row r="99" spans="1:63">
      <c r="A99" s="38"/>
      <c r="B99" s="38"/>
      <c r="C99" s="38"/>
      <c r="D99" s="38"/>
      <c r="E99" s="38"/>
      <c r="F99" s="38"/>
      <c r="H99" s="38"/>
      <c r="I99" s="38"/>
      <c r="J99" s="38"/>
      <c r="K99" s="38"/>
      <c r="L99" s="38"/>
      <c r="M99" s="40"/>
      <c r="N99" s="48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</row>
    <row r="100" spans="1:63">
      <c r="A100" s="67"/>
      <c r="B100" s="67"/>
      <c r="C100" s="67"/>
      <c r="D100" s="67"/>
      <c r="E100" s="67"/>
      <c r="F100" s="67"/>
      <c r="G100" s="67"/>
      <c r="H100" s="67"/>
      <c r="I100" s="67"/>
      <c r="J100" s="38"/>
      <c r="K100" s="45"/>
      <c r="M100" s="44" t="s">
        <v>1617</v>
      </c>
      <c r="N100" s="43" t="s">
        <v>1618</v>
      </c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</row>
    <row r="101" spans="1:63">
      <c r="A101" s="67"/>
      <c r="B101" s="67"/>
      <c r="C101" s="67"/>
      <c r="D101" s="67"/>
      <c r="E101" s="67"/>
      <c r="F101" s="67"/>
      <c r="G101" s="67"/>
      <c r="H101" s="67"/>
      <c r="I101" s="67"/>
      <c r="J101" s="38"/>
      <c r="K101" s="45" t="s">
        <v>1611</v>
      </c>
      <c r="L101" s="46" t="s">
        <v>2</v>
      </c>
      <c r="N101" s="43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</row>
    <row r="102" spans="1:63">
      <c r="A102" s="67"/>
      <c r="B102" s="67"/>
      <c r="C102" s="67"/>
      <c r="D102" s="67"/>
      <c r="E102" s="67"/>
      <c r="F102" s="67"/>
      <c r="G102" s="67"/>
      <c r="H102" s="67"/>
      <c r="I102" s="67"/>
      <c r="J102" s="38"/>
      <c r="K102" s="45"/>
      <c r="N102" s="43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</row>
    <row r="103" spans="1:63">
      <c r="A103" s="67"/>
      <c r="B103" s="67"/>
      <c r="C103" s="67"/>
      <c r="D103" s="67"/>
      <c r="E103" s="67"/>
      <c r="F103" s="67"/>
      <c r="G103" s="67"/>
      <c r="H103" s="67"/>
      <c r="I103" s="67"/>
      <c r="J103" s="38"/>
      <c r="K103" s="45"/>
      <c r="N103" s="43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</row>
    <row r="104" spans="1:63">
      <c r="A104" s="67"/>
      <c r="B104" s="67"/>
      <c r="C104" s="67"/>
      <c r="D104" s="67"/>
      <c r="E104" s="67"/>
      <c r="F104" s="67"/>
      <c r="G104" s="67"/>
      <c r="H104" s="67"/>
      <c r="I104" s="67"/>
      <c r="J104" s="38"/>
      <c r="K104" s="45"/>
      <c r="N104" s="43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</row>
    <row r="105" spans="1:63">
      <c r="A105" s="67"/>
      <c r="B105" s="67"/>
      <c r="C105" s="67"/>
      <c r="D105" s="67"/>
      <c r="E105" s="67"/>
      <c r="F105" s="67"/>
      <c r="G105" s="67"/>
      <c r="H105" s="67"/>
      <c r="I105" s="67"/>
      <c r="J105" s="38"/>
      <c r="K105" s="45"/>
      <c r="N105" s="43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</row>
    <row r="106" spans="1:63">
      <c r="A106" s="67"/>
      <c r="B106" s="67"/>
      <c r="C106" s="67"/>
      <c r="D106" s="67"/>
      <c r="E106" s="67"/>
      <c r="F106" s="67"/>
      <c r="G106" s="67"/>
      <c r="H106" s="67"/>
      <c r="I106" s="67"/>
      <c r="J106" s="38"/>
      <c r="K106" s="45"/>
      <c r="N106" s="43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</row>
    <row r="107" spans="1:63">
      <c r="A107" s="67"/>
      <c r="B107" s="67"/>
      <c r="C107" s="67"/>
      <c r="D107" s="67"/>
      <c r="E107" s="67"/>
      <c r="F107" s="67"/>
      <c r="G107" s="67"/>
      <c r="H107" s="67"/>
      <c r="I107" s="67"/>
      <c r="J107" s="38"/>
      <c r="K107" s="45"/>
      <c r="N107" s="43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</row>
    <row r="108" spans="1:63">
      <c r="A108" s="67"/>
      <c r="B108" s="67"/>
      <c r="C108" s="67"/>
      <c r="D108" s="67"/>
      <c r="E108" s="67"/>
      <c r="F108" s="67"/>
      <c r="G108" s="67"/>
      <c r="H108" s="67"/>
      <c r="I108" s="67"/>
      <c r="J108" s="38"/>
      <c r="K108" s="45"/>
      <c r="N108" s="43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</row>
    <row r="109" spans="1:63">
      <c r="A109" s="67"/>
      <c r="B109" s="67"/>
      <c r="C109" s="67"/>
      <c r="D109" s="67"/>
      <c r="E109" s="67"/>
      <c r="F109" s="67"/>
      <c r="G109" s="67"/>
      <c r="H109" s="67"/>
      <c r="I109" s="67"/>
      <c r="J109" s="38"/>
      <c r="K109" s="45"/>
      <c r="N109" s="43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</row>
    <row r="110" spans="1:63">
      <c r="A110" s="67"/>
      <c r="B110" s="67"/>
      <c r="C110" s="67"/>
      <c r="D110" s="67"/>
      <c r="E110" s="67"/>
      <c r="F110" s="67"/>
      <c r="G110" s="67"/>
      <c r="H110" s="67"/>
      <c r="I110" s="67"/>
      <c r="J110" s="38"/>
      <c r="K110" s="45"/>
      <c r="N110" s="43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</row>
    <row r="111" spans="1:63">
      <c r="A111" s="67"/>
      <c r="B111" s="67"/>
      <c r="C111" s="67"/>
      <c r="D111" s="67"/>
      <c r="E111" s="67"/>
      <c r="F111" s="67"/>
      <c r="G111" s="67"/>
      <c r="H111" s="67"/>
      <c r="I111" s="67"/>
      <c r="J111" s="38"/>
      <c r="N111" s="41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</row>
    <row r="112" spans="1:63">
      <c r="A112" s="67"/>
      <c r="B112" s="67"/>
      <c r="C112" s="67"/>
      <c r="D112" s="67"/>
      <c r="E112" s="67"/>
      <c r="F112" s="67"/>
      <c r="G112" s="67"/>
      <c r="H112" s="67"/>
      <c r="I112" s="67"/>
      <c r="J112" s="38"/>
      <c r="N112" s="41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</row>
    <row r="113" spans="1:63">
      <c r="A113" s="67"/>
      <c r="B113" s="67"/>
      <c r="C113" s="67"/>
      <c r="D113" s="67"/>
      <c r="E113" s="67"/>
      <c r="F113" s="67"/>
      <c r="G113" s="67"/>
      <c r="H113" s="67"/>
      <c r="I113" s="67"/>
      <c r="J113" s="38"/>
      <c r="N113" s="41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</row>
    <row r="114" spans="1:63">
      <c r="A114" s="67"/>
      <c r="B114" s="67"/>
      <c r="C114" s="67"/>
      <c r="D114" s="67"/>
      <c r="E114" s="67"/>
      <c r="F114" s="67"/>
      <c r="G114" s="67"/>
      <c r="H114" s="67"/>
      <c r="I114" s="67"/>
      <c r="J114" s="38"/>
      <c r="N114" s="41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</row>
    <row r="115" spans="1:63">
      <c r="A115" s="67"/>
      <c r="B115" s="67"/>
      <c r="C115" s="67"/>
      <c r="D115" s="67"/>
      <c r="E115" s="67"/>
      <c r="F115" s="67"/>
      <c r="G115" s="67"/>
      <c r="H115" s="67"/>
      <c r="I115" s="67"/>
      <c r="J115" s="38"/>
      <c r="N115" s="41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</row>
    <row r="116" spans="1:63">
      <c r="A116" s="67"/>
      <c r="B116" s="67"/>
      <c r="C116" s="67"/>
      <c r="D116" s="67"/>
      <c r="E116" s="67"/>
      <c r="F116" s="67"/>
      <c r="G116" s="67"/>
      <c r="H116" s="67"/>
      <c r="I116" s="67"/>
      <c r="J116" s="38"/>
      <c r="N116" s="41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</row>
    <row r="117" spans="1:63">
      <c r="A117" s="67"/>
      <c r="B117" s="67"/>
      <c r="C117" s="67"/>
      <c r="D117" s="67"/>
      <c r="E117" s="67"/>
      <c r="F117" s="67"/>
      <c r="G117" s="67"/>
      <c r="H117" s="67"/>
      <c r="I117" s="67"/>
      <c r="J117" s="38"/>
      <c r="N117" s="41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</row>
    <row r="118" spans="1:63">
      <c r="A118" s="67"/>
      <c r="B118" s="67"/>
      <c r="C118" s="67"/>
      <c r="D118" s="67"/>
      <c r="E118" s="67"/>
      <c r="F118" s="67"/>
      <c r="G118" s="67"/>
      <c r="H118" s="67"/>
      <c r="I118" s="67"/>
      <c r="J118" s="38"/>
      <c r="N118" s="41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</row>
    <row r="119" spans="1:63">
      <c r="A119" s="67"/>
      <c r="B119" s="67"/>
      <c r="C119" s="67"/>
      <c r="D119" s="67"/>
      <c r="E119" s="67"/>
      <c r="F119" s="67"/>
      <c r="G119" s="67"/>
      <c r="H119" s="67"/>
      <c r="I119" s="67"/>
      <c r="J119" s="38"/>
      <c r="N119" s="41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</row>
    <row r="120" spans="1:63">
      <c r="A120" s="67"/>
      <c r="B120" s="67"/>
      <c r="C120" s="67"/>
      <c r="D120" s="67"/>
      <c r="E120" s="67"/>
      <c r="F120" s="67"/>
      <c r="G120" s="67"/>
      <c r="H120" s="67"/>
      <c r="I120" s="67"/>
      <c r="J120" s="38"/>
      <c r="N120" s="41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</row>
    <row r="121" spans="1:63">
      <c r="A121" s="67"/>
      <c r="B121" s="67"/>
      <c r="C121" s="67"/>
      <c r="D121" s="67"/>
      <c r="E121" s="67"/>
      <c r="F121" s="67"/>
      <c r="G121" s="67"/>
      <c r="H121" s="67"/>
      <c r="I121" s="67"/>
      <c r="J121" s="38"/>
      <c r="N121" s="41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</row>
    <row r="122" spans="1:63">
      <c r="A122" s="67"/>
      <c r="B122" s="67"/>
      <c r="C122" s="67"/>
      <c r="D122" s="67"/>
      <c r="E122" s="67"/>
      <c r="F122" s="67"/>
      <c r="G122" s="67"/>
      <c r="H122" s="67"/>
      <c r="I122" s="67"/>
      <c r="J122" s="38"/>
      <c r="N122" s="41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</row>
    <row r="123" spans="1:63">
      <c r="A123" s="67"/>
      <c r="B123" s="67"/>
      <c r="C123" s="67"/>
      <c r="D123" s="67"/>
      <c r="E123" s="67"/>
      <c r="F123" s="67"/>
      <c r="G123" s="67"/>
      <c r="H123" s="67"/>
      <c r="I123" s="67"/>
      <c r="J123" s="38"/>
      <c r="N123" s="41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</row>
    <row r="124" spans="1:63">
      <c r="A124" s="67"/>
      <c r="B124" s="67"/>
      <c r="C124" s="67"/>
      <c r="D124" s="67"/>
      <c r="E124" s="67"/>
      <c r="F124" s="67"/>
      <c r="G124" s="67"/>
      <c r="H124" s="67"/>
      <c r="I124" s="67"/>
      <c r="J124" s="38"/>
      <c r="N124" s="41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</row>
    <row r="125" spans="1:63">
      <c r="A125" s="67"/>
      <c r="B125" s="67"/>
      <c r="C125" s="67"/>
      <c r="D125" s="67"/>
      <c r="E125" s="67"/>
      <c r="F125" s="67"/>
      <c r="G125" s="67"/>
      <c r="H125" s="67"/>
      <c r="I125" s="67"/>
      <c r="J125" s="38"/>
      <c r="N125" s="41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</row>
    <row r="126" spans="1:63">
      <c r="A126" s="67"/>
      <c r="B126" s="67"/>
      <c r="C126" s="67"/>
      <c r="D126" s="67"/>
      <c r="E126" s="67"/>
      <c r="F126" s="67"/>
      <c r="G126" s="67"/>
      <c r="H126" s="67"/>
      <c r="I126" s="67"/>
      <c r="J126" s="38"/>
      <c r="N126" s="41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</row>
    <row r="127" spans="1:63">
      <c r="A127" s="67"/>
      <c r="B127" s="67"/>
      <c r="C127" s="67"/>
      <c r="D127" s="67"/>
      <c r="E127" s="67"/>
      <c r="F127" s="67"/>
      <c r="G127" s="67"/>
      <c r="H127" s="67"/>
      <c r="I127" s="67"/>
      <c r="J127" s="38"/>
      <c r="N127" s="41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</row>
    <row r="128" spans="1:63">
      <c r="A128" s="67"/>
      <c r="B128" s="67"/>
      <c r="C128" s="67"/>
      <c r="D128" s="67"/>
      <c r="E128" s="67"/>
      <c r="F128" s="67"/>
      <c r="G128" s="67"/>
      <c r="H128" s="67"/>
      <c r="I128" s="67"/>
      <c r="J128" s="38"/>
      <c r="N128" s="41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</row>
    <row r="129" spans="1:63">
      <c r="A129" s="38"/>
      <c r="B129" s="38"/>
      <c r="C129" s="38"/>
      <c r="D129" s="38"/>
      <c r="E129" s="38"/>
      <c r="F129" s="38"/>
      <c r="H129" s="38"/>
      <c r="I129" s="38"/>
      <c r="J129" s="38"/>
      <c r="K129" s="38"/>
      <c r="L129" s="38"/>
      <c r="M129" s="40"/>
      <c r="N129" s="48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</row>
    <row r="130" spans="1:63">
      <c r="A130" s="67"/>
      <c r="B130" s="67"/>
      <c r="C130" s="67"/>
      <c r="D130" s="67"/>
      <c r="E130" s="67"/>
      <c r="F130" s="67"/>
      <c r="G130" s="67"/>
      <c r="H130" s="67"/>
      <c r="I130" s="67"/>
      <c r="J130" s="38"/>
      <c r="K130" s="45"/>
      <c r="M130" s="44" t="s">
        <v>1619</v>
      </c>
      <c r="N130" s="43" t="s">
        <v>1620</v>
      </c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</row>
    <row r="131" spans="1:63">
      <c r="A131" s="67"/>
      <c r="B131" s="67"/>
      <c r="C131" s="67"/>
      <c r="D131" s="67"/>
      <c r="E131" s="67"/>
      <c r="F131" s="67"/>
      <c r="G131" s="67"/>
      <c r="H131" s="67"/>
      <c r="I131" s="67"/>
      <c r="J131" s="38"/>
      <c r="K131" s="45" t="s">
        <v>1611</v>
      </c>
      <c r="L131" s="46" t="s">
        <v>2</v>
      </c>
      <c r="N131" s="43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</row>
    <row r="132" spans="1:63">
      <c r="A132" s="67"/>
      <c r="B132" s="67"/>
      <c r="C132" s="67"/>
      <c r="D132" s="67"/>
      <c r="E132" s="67"/>
      <c r="F132" s="67"/>
      <c r="G132" s="67"/>
      <c r="H132" s="67"/>
      <c r="I132" s="67"/>
      <c r="J132" s="38"/>
      <c r="K132" s="45"/>
      <c r="N132" s="43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</row>
    <row r="133" spans="1:63">
      <c r="A133" s="67"/>
      <c r="B133" s="67"/>
      <c r="C133" s="67"/>
      <c r="D133" s="67"/>
      <c r="E133" s="67"/>
      <c r="F133" s="67"/>
      <c r="G133" s="67"/>
      <c r="H133" s="67"/>
      <c r="I133" s="67"/>
      <c r="J133" s="38"/>
      <c r="K133" s="45"/>
      <c r="N133" s="43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</row>
    <row r="134" spans="1:63">
      <c r="A134" s="67"/>
      <c r="B134" s="67"/>
      <c r="C134" s="67"/>
      <c r="D134" s="67"/>
      <c r="E134" s="67"/>
      <c r="F134" s="67"/>
      <c r="G134" s="67"/>
      <c r="H134" s="67"/>
      <c r="I134" s="67"/>
      <c r="J134" s="38"/>
      <c r="K134" s="45"/>
      <c r="N134" s="43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</row>
    <row r="135" spans="1:63">
      <c r="A135" s="67"/>
      <c r="B135" s="67"/>
      <c r="C135" s="67"/>
      <c r="D135" s="67"/>
      <c r="E135" s="67"/>
      <c r="F135" s="67"/>
      <c r="G135" s="67"/>
      <c r="H135" s="67"/>
      <c r="I135" s="67"/>
      <c r="J135" s="38"/>
      <c r="K135" s="45"/>
      <c r="N135" s="43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</row>
    <row r="136" spans="1:63">
      <c r="A136" s="67"/>
      <c r="B136" s="67"/>
      <c r="C136" s="67"/>
      <c r="D136" s="67"/>
      <c r="E136" s="67"/>
      <c r="F136" s="67"/>
      <c r="G136" s="67"/>
      <c r="H136" s="67"/>
      <c r="I136" s="67"/>
      <c r="J136" s="38"/>
      <c r="K136" s="45"/>
      <c r="N136" s="43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</row>
    <row r="137" spans="1:63">
      <c r="A137" s="67"/>
      <c r="B137" s="67"/>
      <c r="C137" s="67"/>
      <c r="D137" s="67"/>
      <c r="E137" s="67"/>
      <c r="F137" s="67"/>
      <c r="G137" s="67"/>
      <c r="H137" s="67"/>
      <c r="I137" s="67"/>
      <c r="J137" s="38"/>
      <c r="K137" s="45"/>
      <c r="N137" s="43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</row>
    <row r="138" spans="1:63">
      <c r="A138" s="67"/>
      <c r="B138" s="67"/>
      <c r="C138" s="67"/>
      <c r="D138" s="67"/>
      <c r="E138" s="67"/>
      <c r="F138" s="67"/>
      <c r="G138" s="67"/>
      <c r="H138" s="67"/>
      <c r="I138" s="67"/>
      <c r="J138" s="38"/>
      <c r="K138" s="45"/>
      <c r="N138" s="43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</row>
    <row r="139" spans="1:63">
      <c r="A139" s="67"/>
      <c r="B139" s="67"/>
      <c r="C139" s="67"/>
      <c r="D139" s="67"/>
      <c r="E139" s="67"/>
      <c r="F139" s="67"/>
      <c r="G139" s="67"/>
      <c r="H139" s="67"/>
      <c r="I139" s="67"/>
      <c r="J139" s="38"/>
      <c r="K139" s="45"/>
      <c r="N139" s="43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</row>
    <row r="140" spans="1:63">
      <c r="A140" s="67"/>
      <c r="B140" s="67"/>
      <c r="C140" s="67"/>
      <c r="D140" s="67"/>
      <c r="E140" s="67"/>
      <c r="F140" s="67"/>
      <c r="G140" s="67"/>
      <c r="H140" s="67"/>
      <c r="I140" s="67"/>
      <c r="J140" s="38"/>
      <c r="K140" s="45"/>
      <c r="N140" s="43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</row>
    <row r="141" spans="1:63">
      <c r="A141" s="67"/>
      <c r="B141" s="67"/>
      <c r="C141" s="67"/>
      <c r="D141" s="67"/>
      <c r="E141" s="67"/>
      <c r="F141" s="67"/>
      <c r="G141" s="67"/>
      <c r="H141" s="67"/>
      <c r="I141" s="67"/>
      <c r="J141" s="38"/>
      <c r="N141" s="41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</row>
    <row r="142" spans="1:63">
      <c r="A142" s="67"/>
      <c r="B142" s="67"/>
      <c r="C142" s="67"/>
      <c r="D142" s="67"/>
      <c r="E142" s="67"/>
      <c r="F142" s="67"/>
      <c r="G142" s="67"/>
      <c r="H142" s="67"/>
      <c r="I142" s="67"/>
      <c r="J142" s="38"/>
      <c r="N142" s="41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</row>
    <row r="143" spans="1:63">
      <c r="A143" s="67"/>
      <c r="B143" s="67"/>
      <c r="C143" s="67"/>
      <c r="D143" s="67"/>
      <c r="E143" s="67"/>
      <c r="F143" s="67"/>
      <c r="G143" s="67"/>
      <c r="H143" s="67"/>
      <c r="I143" s="67"/>
      <c r="J143" s="38"/>
      <c r="N143" s="41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</row>
    <row r="144" spans="1:63">
      <c r="A144" s="67"/>
      <c r="B144" s="67"/>
      <c r="C144" s="67"/>
      <c r="D144" s="67"/>
      <c r="E144" s="67"/>
      <c r="F144" s="67"/>
      <c r="G144" s="67"/>
      <c r="H144" s="67"/>
      <c r="I144" s="67"/>
      <c r="J144" s="38"/>
      <c r="N144" s="41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</row>
    <row r="145" spans="1:63">
      <c r="A145" s="67"/>
      <c r="B145" s="67"/>
      <c r="C145" s="67"/>
      <c r="D145" s="67"/>
      <c r="E145" s="67"/>
      <c r="F145" s="67"/>
      <c r="G145" s="67"/>
      <c r="H145" s="67"/>
      <c r="I145" s="67"/>
      <c r="J145" s="38"/>
      <c r="N145" s="41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</row>
    <row r="146" spans="1:63">
      <c r="A146" s="67"/>
      <c r="B146" s="67"/>
      <c r="C146" s="67"/>
      <c r="D146" s="67"/>
      <c r="E146" s="67"/>
      <c r="F146" s="67"/>
      <c r="G146" s="67"/>
      <c r="H146" s="67"/>
      <c r="I146" s="67"/>
      <c r="J146" s="38"/>
      <c r="N146" s="41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</row>
    <row r="147" spans="1:63">
      <c r="A147" s="67"/>
      <c r="B147" s="67"/>
      <c r="C147" s="67"/>
      <c r="D147" s="67"/>
      <c r="E147" s="67"/>
      <c r="F147" s="67"/>
      <c r="G147" s="67"/>
      <c r="H147" s="67"/>
      <c r="I147" s="67"/>
      <c r="J147" s="38"/>
      <c r="N147" s="41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</row>
    <row r="148" spans="1:63">
      <c r="A148" s="67"/>
      <c r="B148" s="67"/>
      <c r="C148" s="67"/>
      <c r="D148" s="67"/>
      <c r="E148" s="67"/>
      <c r="F148" s="67"/>
      <c r="G148" s="67"/>
      <c r="H148" s="67"/>
      <c r="I148" s="67"/>
      <c r="J148" s="38"/>
      <c r="N148" s="41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</row>
    <row r="149" spans="1:63">
      <c r="A149" s="67"/>
      <c r="B149" s="67"/>
      <c r="C149" s="67"/>
      <c r="D149" s="67"/>
      <c r="E149" s="67"/>
      <c r="F149" s="67"/>
      <c r="G149" s="67"/>
      <c r="H149" s="67"/>
      <c r="I149" s="67"/>
      <c r="J149" s="38"/>
      <c r="N149" s="41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</row>
    <row r="150" spans="1:63">
      <c r="A150" s="67"/>
      <c r="B150" s="67"/>
      <c r="C150" s="67"/>
      <c r="D150" s="67"/>
      <c r="E150" s="67"/>
      <c r="F150" s="67"/>
      <c r="G150" s="67"/>
      <c r="H150" s="67"/>
      <c r="I150" s="67"/>
      <c r="J150" s="38"/>
      <c r="N150" s="41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</row>
    <row r="151" spans="1:63">
      <c r="A151" s="67"/>
      <c r="B151" s="67"/>
      <c r="C151" s="67"/>
      <c r="D151" s="67"/>
      <c r="E151" s="67"/>
      <c r="F151" s="67"/>
      <c r="G151" s="67"/>
      <c r="H151" s="67"/>
      <c r="I151" s="67"/>
      <c r="J151" s="38"/>
      <c r="N151" s="41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</row>
    <row r="152" spans="1:63">
      <c r="A152" s="67"/>
      <c r="B152" s="67"/>
      <c r="C152" s="67"/>
      <c r="D152" s="67"/>
      <c r="E152" s="67"/>
      <c r="F152" s="67"/>
      <c r="G152" s="67"/>
      <c r="H152" s="67"/>
      <c r="I152" s="67"/>
      <c r="J152" s="38"/>
      <c r="N152" s="41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</row>
    <row r="153" spans="1:63">
      <c r="A153" s="67"/>
      <c r="B153" s="67"/>
      <c r="C153" s="67"/>
      <c r="D153" s="67"/>
      <c r="E153" s="67"/>
      <c r="F153" s="67"/>
      <c r="G153" s="67"/>
      <c r="H153" s="67"/>
      <c r="I153" s="67"/>
      <c r="J153" s="38"/>
      <c r="N153" s="41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</row>
    <row r="154" spans="1:63">
      <c r="A154" s="67"/>
      <c r="B154" s="67"/>
      <c r="C154" s="67"/>
      <c r="D154" s="67"/>
      <c r="E154" s="67"/>
      <c r="F154" s="67"/>
      <c r="G154" s="67"/>
      <c r="H154" s="67"/>
      <c r="I154" s="67"/>
      <c r="J154" s="38"/>
      <c r="N154" s="41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</row>
    <row r="155" spans="1:63">
      <c r="A155" s="67"/>
      <c r="B155" s="67"/>
      <c r="C155" s="67"/>
      <c r="D155" s="67"/>
      <c r="E155" s="67"/>
      <c r="F155" s="67"/>
      <c r="G155" s="67"/>
      <c r="H155" s="67"/>
      <c r="I155" s="67"/>
      <c r="J155" s="38"/>
      <c r="N155" s="41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</row>
    <row r="156" spans="1:63">
      <c r="A156" s="38"/>
      <c r="B156" s="38"/>
      <c r="C156" s="38"/>
      <c r="D156" s="38"/>
      <c r="E156" s="38"/>
      <c r="F156" s="38"/>
      <c r="H156" s="38"/>
      <c r="I156" s="38"/>
      <c r="J156" s="38"/>
      <c r="K156" s="38"/>
      <c r="L156" s="38"/>
      <c r="M156" s="40"/>
      <c r="N156" s="48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</row>
    <row r="157" spans="1:63">
      <c r="A157" s="67"/>
      <c r="B157" s="67"/>
      <c r="C157" s="67"/>
      <c r="D157" s="67"/>
      <c r="E157" s="67"/>
      <c r="F157" s="67"/>
      <c r="G157" s="67"/>
      <c r="H157" s="67"/>
      <c r="I157" s="67"/>
      <c r="J157" s="38"/>
      <c r="M157" s="44" t="s">
        <v>1621</v>
      </c>
      <c r="N157" s="43" t="s">
        <v>1622</v>
      </c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</row>
    <row r="158" spans="1:63">
      <c r="A158" s="67"/>
      <c r="B158" s="67"/>
      <c r="C158" s="67"/>
      <c r="D158" s="67"/>
      <c r="E158" s="67"/>
      <c r="F158" s="67"/>
      <c r="G158" s="67"/>
      <c r="H158" s="67"/>
      <c r="I158" s="67"/>
      <c r="J158" s="38"/>
      <c r="K158" s="45" t="s">
        <v>1611</v>
      </c>
      <c r="L158" s="46" t="s">
        <v>2</v>
      </c>
      <c r="N158" s="41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</row>
    <row r="159" spans="1:63">
      <c r="A159" s="67"/>
      <c r="B159" s="67"/>
      <c r="C159" s="67"/>
      <c r="D159" s="67"/>
      <c r="E159" s="67"/>
      <c r="F159" s="67"/>
      <c r="G159" s="67"/>
      <c r="H159" s="67"/>
      <c r="I159" s="67"/>
      <c r="J159" s="38"/>
      <c r="N159" s="41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</row>
    <row r="160" spans="1:63">
      <c r="A160" s="67"/>
      <c r="B160" s="67"/>
      <c r="C160" s="67"/>
      <c r="D160" s="67"/>
      <c r="E160" s="67"/>
      <c r="F160" s="67"/>
      <c r="G160" s="67"/>
      <c r="H160" s="67"/>
      <c r="I160" s="67"/>
      <c r="J160" s="38"/>
      <c r="N160" s="41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</row>
    <row r="161" spans="1:63">
      <c r="A161" s="67"/>
      <c r="B161" s="67"/>
      <c r="C161" s="67"/>
      <c r="D161" s="67"/>
      <c r="E161" s="67"/>
      <c r="F161" s="67"/>
      <c r="G161" s="67"/>
      <c r="H161" s="67"/>
      <c r="I161" s="67"/>
      <c r="J161" s="38"/>
      <c r="N161" s="41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</row>
    <row r="162" spans="1:63">
      <c r="A162" s="67"/>
      <c r="B162" s="67"/>
      <c r="C162" s="67"/>
      <c r="D162" s="67"/>
      <c r="E162" s="67"/>
      <c r="F162" s="67"/>
      <c r="G162" s="67"/>
      <c r="H162" s="67"/>
      <c r="I162" s="67"/>
      <c r="J162" s="38"/>
      <c r="N162" s="41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</row>
    <row r="163" spans="1:63">
      <c r="A163" s="67"/>
      <c r="B163" s="67"/>
      <c r="C163" s="67"/>
      <c r="D163" s="67"/>
      <c r="E163" s="67"/>
      <c r="F163" s="67"/>
      <c r="G163" s="67"/>
      <c r="H163" s="67"/>
      <c r="I163" s="67"/>
      <c r="J163" s="38"/>
      <c r="N163" s="41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</row>
    <row r="164" spans="1:63">
      <c r="A164" s="67"/>
      <c r="B164" s="67"/>
      <c r="C164" s="67"/>
      <c r="D164" s="67"/>
      <c r="E164" s="67"/>
      <c r="F164" s="67"/>
      <c r="G164" s="67"/>
      <c r="H164" s="67"/>
      <c r="I164" s="67"/>
      <c r="J164" s="38"/>
      <c r="K164" s="45"/>
      <c r="N164" s="41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</row>
    <row r="165" spans="1:63">
      <c r="A165" s="67"/>
      <c r="B165" s="67"/>
      <c r="C165" s="67"/>
      <c r="D165" s="67"/>
      <c r="E165" s="67"/>
      <c r="F165" s="67"/>
      <c r="G165" s="67"/>
      <c r="H165" s="67"/>
      <c r="I165" s="67"/>
      <c r="J165" s="38"/>
      <c r="K165" s="45"/>
      <c r="N165" s="41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</row>
    <row r="166" spans="1:63">
      <c r="A166" s="67"/>
      <c r="B166" s="67"/>
      <c r="C166" s="67"/>
      <c r="D166" s="67"/>
      <c r="E166" s="67"/>
      <c r="F166" s="67"/>
      <c r="G166" s="67"/>
      <c r="H166" s="67"/>
      <c r="I166" s="67"/>
      <c r="J166" s="38"/>
      <c r="N166" s="41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</row>
    <row r="167" spans="1:63">
      <c r="A167" s="67"/>
      <c r="B167" s="67"/>
      <c r="C167" s="67"/>
      <c r="D167" s="67"/>
      <c r="E167" s="67"/>
      <c r="F167" s="67"/>
      <c r="G167" s="67"/>
      <c r="H167" s="67"/>
      <c r="I167" s="67"/>
      <c r="J167" s="38"/>
      <c r="N167" s="41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</row>
    <row r="168" spans="1:63">
      <c r="A168" s="67"/>
      <c r="B168" s="67"/>
      <c r="C168" s="67"/>
      <c r="D168" s="67"/>
      <c r="E168" s="67"/>
      <c r="F168" s="67"/>
      <c r="G168" s="67"/>
      <c r="H168" s="67"/>
      <c r="I168" s="67"/>
      <c r="J168" s="38"/>
      <c r="N168" s="41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</row>
    <row r="169" spans="1:63">
      <c r="A169" s="67"/>
      <c r="B169" s="67"/>
      <c r="C169" s="67"/>
      <c r="D169" s="67"/>
      <c r="E169" s="67"/>
      <c r="F169" s="67"/>
      <c r="G169" s="67"/>
      <c r="H169" s="67"/>
      <c r="I169" s="67"/>
      <c r="J169" s="38"/>
      <c r="N169" s="41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</row>
    <row r="170" spans="1:63">
      <c r="A170" s="67"/>
      <c r="B170" s="67"/>
      <c r="C170" s="67"/>
      <c r="D170" s="67"/>
      <c r="E170" s="67"/>
      <c r="F170" s="67"/>
      <c r="G170" s="67"/>
      <c r="H170" s="67"/>
      <c r="I170" s="67"/>
      <c r="J170" s="38"/>
      <c r="N170" s="41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</row>
    <row r="171" spans="1:63">
      <c r="A171" s="67"/>
      <c r="B171" s="67"/>
      <c r="C171" s="67"/>
      <c r="D171" s="67"/>
      <c r="E171" s="67"/>
      <c r="F171" s="67"/>
      <c r="G171" s="67"/>
      <c r="H171" s="67"/>
      <c r="I171" s="67"/>
      <c r="J171" s="38"/>
      <c r="N171" s="41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</row>
    <row r="172" spans="1:63">
      <c r="A172" s="67"/>
      <c r="B172" s="67"/>
      <c r="C172" s="67"/>
      <c r="D172" s="67"/>
      <c r="E172" s="67"/>
      <c r="F172" s="67"/>
      <c r="G172" s="67"/>
      <c r="H172" s="67"/>
      <c r="I172" s="67"/>
      <c r="J172" s="38"/>
      <c r="N172" s="41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</row>
    <row r="173" spans="1:63">
      <c r="A173" s="38"/>
      <c r="B173" s="38"/>
      <c r="C173" s="38"/>
      <c r="D173" s="38"/>
      <c r="E173" s="38"/>
      <c r="F173" s="38"/>
      <c r="H173" s="38"/>
      <c r="I173" s="38"/>
      <c r="J173" s="38"/>
      <c r="K173" s="38"/>
      <c r="L173" s="38"/>
      <c r="M173" s="40"/>
      <c r="N173" s="48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</row>
    <row r="174" spans="1:63" ht="12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38"/>
      <c r="K174" s="45"/>
      <c r="M174" s="44" t="s">
        <v>1623</v>
      </c>
      <c r="N174" s="43" t="s">
        <v>1624</v>
      </c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</row>
    <row r="175" spans="1:63">
      <c r="A175" s="67"/>
      <c r="B175" s="67"/>
      <c r="C175" s="67"/>
      <c r="D175" s="67"/>
      <c r="E175" s="67"/>
      <c r="F175" s="67"/>
      <c r="G175" s="67"/>
      <c r="H175" s="67"/>
      <c r="I175" s="67"/>
      <c r="J175" s="38"/>
      <c r="K175" s="45" t="s">
        <v>1611</v>
      </c>
      <c r="L175" s="46" t="s">
        <v>2</v>
      </c>
      <c r="N175" s="43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</row>
    <row r="176" spans="1:63">
      <c r="A176" s="67"/>
      <c r="B176" s="67"/>
      <c r="C176" s="67"/>
      <c r="D176" s="67"/>
      <c r="E176" s="67"/>
      <c r="F176" s="67"/>
      <c r="G176" s="67"/>
      <c r="H176" s="67"/>
      <c r="I176" s="67"/>
      <c r="J176" s="38"/>
      <c r="K176" s="45"/>
      <c r="N176" s="43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</row>
    <row r="177" spans="1:63">
      <c r="A177" s="67"/>
      <c r="B177" s="67"/>
      <c r="C177" s="67"/>
      <c r="D177" s="67"/>
      <c r="E177" s="67"/>
      <c r="F177" s="67"/>
      <c r="G177" s="67"/>
      <c r="H177" s="67"/>
      <c r="I177" s="67"/>
      <c r="J177" s="38"/>
      <c r="N177" s="43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</row>
    <row r="178" spans="1:63">
      <c r="A178" s="67"/>
      <c r="B178" s="67"/>
      <c r="C178" s="67"/>
      <c r="D178" s="67"/>
      <c r="E178" s="67"/>
      <c r="F178" s="67"/>
      <c r="G178" s="67"/>
      <c r="H178" s="67"/>
      <c r="I178" s="67"/>
      <c r="J178" s="38"/>
      <c r="N178" s="43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</row>
    <row r="179" spans="1:63">
      <c r="A179" s="67"/>
      <c r="B179" s="67"/>
      <c r="C179" s="67"/>
      <c r="D179" s="67"/>
      <c r="E179" s="67"/>
      <c r="F179" s="67"/>
      <c r="G179" s="67"/>
      <c r="H179" s="67"/>
      <c r="I179" s="67"/>
      <c r="J179" s="38"/>
      <c r="K179" s="45"/>
      <c r="N179" s="43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</row>
    <row r="180" spans="1:63">
      <c r="A180" s="67"/>
      <c r="B180" s="67"/>
      <c r="C180" s="67"/>
      <c r="D180" s="67"/>
      <c r="E180" s="67"/>
      <c r="F180" s="67"/>
      <c r="G180" s="67"/>
      <c r="H180" s="67"/>
      <c r="I180" s="67"/>
      <c r="J180" s="38"/>
      <c r="K180" s="45"/>
      <c r="N180" s="43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</row>
    <row r="181" spans="1:63">
      <c r="A181" s="67"/>
      <c r="B181" s="67"/>
      <c r="C181" s="67"/>
      <c r="D181" s="67"/>
      <c r="E181" s="67"/>
      <c r="F181" s="67"/>
      <c r="G181" s="67"/>
      <c r="H181" s="67"/>
      <c r="I181" s="67"/>
      <c r="J181" s="38"/>
      <c r="K181" s="45"/>
      <c r="N181" s="41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</row>
    <row r="182" spans="1:63">
      <c r="A182" s="67"/>
      <c r="B182" s="67"/>
      <c r="C182" s="67"/>
      <c r="D182" s="67"/>
      <c r="E182" s="67"/>
      <c r="F182" s="67"/>
      <c r="G182" s="67"/>
      <c r="H182" s="67"/>
      <c r="I182" s="67"/>
      <c r="J182" s="38"/>
      <c r="N182" s="41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</row>
    <row r="183" spans="1:63">
      <c r="A183" s="67"/>
      <c r="B183" s="67"/>
      <c r="C183" s="67"/>
      <c r="D183" s="67"/>
      <c r="E183" s="67"/>
      <c r="F183" s="67"/>
      <c r="G183" s="67"/>
      <c r="H183" s="67"/>
      <c r="I183" s="67"/>
      <c r="J183" s="38"/>
      <c r="N183" s="41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</row>
    <row r="184" spans="1:63">
      <c r="A184" s="67"/>
      <c r="B184" s="67"/>
      <c r="C184" s="67"/>
      <c r="D184" s="67"/>
      <c r="E184" s="67"/>
      <c r="F184" s="67"/>
      <c r="G184" s="67"/>
      <c r="H184" s="67"/>
      <c r="I184" s="67"/>
      <c r="J184" s="38"/>
      <c r="N184" s="41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</row>
    <row r="185" spans="1:63">
      <c r="A185" s="67"/>
      <c r="B185" s="67"/>
      <c r="C185" s="67"/>
      <c r="D185" s="67"/>
      <c r="E185" s="67"/>
      <c r="F185" s="67"/>
      <c r="G185" s="67"/>
      <c r="H185" s="67"/>
      <c r="I185" s="67"/>
      <c r="J185" s="38"/>
      <c r="N185" s="41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</row>
    <row r="186" spans="1:63">
      <c r="A186" s="67"/>
      <c r="B186" s="67"/>
      <c r="C186" s="67"/>
      <c r="D186" s="67"/>
      <c r="E186" s="67"/>
      <c r="F186" s="67"/>
      <c r="G186" s="67"/>
      <c r="H186" s="67"/>
      <c r="I186" s="67"/>
      <c r="J186" s="38"/>
      <c r="N186" s="41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</row>
    <row r="187" spans="1:63">
      <c r="A187" s="67"/>
      <c r="B187" s="67"/>
      <c r="C187" s="67"/>
      <c r="D187" s="67"/>
      <c r="E187" s="67"/>
      <c r="F187" s="67"/>
      <c r="G187" s="67"/>
      <c r="H187" s="67"/>
      <c r="I187" s="67"/>
      <c r="J187" s="38"/>
      <c r="N187" s="41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</row>
    <row r="188" spans="1:63">
      <c r="A188" s="67"/>
      <c r="B188" s="67"/>
      <c r="C188" s="67"/>
      <c r="D188" s="67"/>
      <c r="E188" s="67"/>
      <c r="F188" s="67"/>
      <c r="G188" s="67"/>
      <c r="H188" s="67"/>
      <c r="I188" s="67"/>
      <c r="J188" s="38"/>
      <c r="N188" s="41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</row>
    <row r="189" spans="1:63">
      <c r="A189" s="67"/>
      <c r="B189" s="67"/>
      <c r="C189" s="67"/>
      <c r="D189" s="67"/>
      <c r="E189" s="67"/>
      <c r="F189" s="67"/>
      <c r="G189" s="67"/>
      <c r="H189" s="67"/>
      <c r="I189" s="67"/>
      <c r="J189" s="38"/>
      <c r="N189" s="41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</row>
    <row r="190" spans="1:63">
      <c r="A190" s="67"/>
      <c r="B190" s="67"/>
      <c r="C190" s="67"/>
      <c r="D190" s="67"/>
      <c r="E190" s="67"/>
      <c r="F190" s="67"/>
      <c r="G190" s="67"/>
      <c r="H190" s="67"/>
      <c r="I190" s="67"/>
      <c r="J190" s="38"/>
      <c r="N190" s="41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</row>
    <row r="191" spans="1:63">
      <c r="A191" s="67"/>
      <c r="B191" s="67"/>
      <c r="C191" s="67"/>
      <c r="D191" s="67"/>
      <c r="E191" s="67"/>
      <c r="F191" s="67"/>
      <c r="G191" s="67"/>
      <c r="H191" s="67"/>
      <c r="I191" s="67"/>
      <c r="J191" s="38"/>
      <c r="N191" s="41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</row>
    <row r="192" spans="1:63">
      <c r="A192" s="67"/>
      <c r="B192" s="67"/>
      <c r="C192" s="67"/>
      <c r="D192" s="67"/>
      <c r="E192" s="67"/>
      <c r="F192" s="67"/>
      <c r="G192" s="67"/>
      <c r="H192" s="67"/>
      <c r="I192" s="67"/>
      <c r="J192" s="38"/>
      <c r="N192" s="41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</row>
    <row r="193" spans="1:63">
      <c r="A193" s="38"/>
      <c r="B193" s="38"/>
      <c r="C193" s="38"/>
      <c r="D193" s="38"/>
      <c r="E193" s="38"/>
      <c r="F193" s="38"/>
      <c r="H193" s="38"/>
      <c r="I193" s="38"/>
      <c r="J193" s="38"/>
      <c r="K193" s="38"/>
      <c r="L193" s="38"/>
      <c r="M193" s="40"/>
      <c r="N193" s="48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</row>
    <row r="194" spans="1:63" s="67" customFormat="1" ht="15"/>
    <row r="195" spans="1:63" s="67" customFormat="1" ht="15"/>
    <row r="196" spans="1:63" s="67" customFormat="1" ht="15"/>
    <row r="197" spans="1:63" s="67" customFormat="1" ht="15"/>
    <row r="198" spans="1:63" s="67" customFormat="1" ht="15"/>
    <row r="199" spans="1:63" s="67" customFormat="1" ht="15"/>
    <row r="200" spans="1:63" s="67" customFormat="1" ht="15"/>
    <row r="201" spans="1:63" s="67" customFormat="1" ht="15"/>
    <row r="202" spans="1:63" s="67" customFormat="1" ht="15"/>
    <row r="203" spans="1:63" s="67" customFormat="1" ht="15"/>
    <row r="204" spans="1:63" s="67" customFormat="1" ht="15"/>
    <row r="205" spans="1:63" s="67" customFormat="1" ht="15"/>
    <row r="206" spans="1:63" s="67" customFormat="1" ht="15"/>
    <row r="207" spans="1:63" s="67" customFormat="1" ht="15"/>
    <row r="208" spans="1:63" s="67" customFormat="1" ht="15"/>
    <row r="209" spans="2:12" s="67" customFormat="1" ht="15"/>
    <row r="210" spans="2:12" s="67" customFormat="1" ht="15"/>
    <row r="211" spans="2:12" s="67" customFormat="1" ht="15"/>
    <row r="212" spans="2:12" s="67" customFormat="1" ht="15"/>
    <row r="213" spans="2:12" s="67" customFormat="1" ht="15"/>
    <row r="214" spans="2:12" s="67" customFormat="1" ht="15"/>
    <row r="215" spans="2:12" s="67" customFormat="1" ht="15"/>
    <row r="216" spans="2:12" s="67" customFormat="1" ht="15"/>
    <row r="217" spans="2:12" s="67" customFormat="1" ht="15"/>
    <row r="218" spans="2:12">
      <c r="B218" s="49" t="s">
        <v>1625</v>
      </c>
      <c r="E218" s="42"/>
      <c r="G218" s="49"/>
      <c r="H218" s="49"/>
      <c r="I218" s="49"/>
      <c r="J218" s="49"/>
      <c r="K218" s="49"/>
      <c r="L218" s="50"/>
    </row>
    <row r="219" spans="2:12">
      <c r="B219" s="49" t="s">
        <v>1626</v>
      </c>
      <c r="E219" s="42"/>
      <c r="G219" s="49"/>
      <c r="H219" s="49"/>
      <c r="I219" s="49"/>
      <c r="J219" s="49"/>
      <c r="K219" s="51" t="s">
        <v>1627</v>
      </c>
      <c r="L219" s="50"/>
    </row>
    <row r="220" spans="2:12">
      <c r="B220" s="49"/>
      <c r="E220" s="42"/>
      <c r="G220" s="49"/>
      <c r="H220" s="49"/>
      <c r="I220" s="49"/>
      <c r="J220" s="49"/>
      <c r="K220" s="51" t="s">
        <v>2</v>
      </c>
      <c r="L220" s="50"/>
    </row>
    <row r="221" spans="2:12">
      <c r="B221" s="49" t="s">
        <v>1627</v>
      </c>
      <c r="E221" s="42"/>
      <c r="G221" s="49"/>
      <c r="H221" s="49"/>
      <c r="I221" s="49"/>
      <c r="J221" s="49"/>
      <c r="K221" s="49"/>
      <c r="L221" s="50"/>
    </row>
    <row r="222" spans="2:12">
      <c r="B222" s="49" t="s">
        <v>2</v>
      </c>
      <c r="E222" s="42"/>
      <c r="G222" s="49"/>
      <c r="H222" s="49"/>
      <c r="I222" s="49"/>
      <c r="J222" s="49"/>
      <c r="K222" s="49"/>
      <c r="L222" s="50"/>
    </row>
    <row r="223" spans="2:12">
      <c r="B223" s="49"/>
      <c r="E223" s="42"/>
      <c r="G223" s="49"/>
      <c r="H223" s="49"/>
      <c r="I223" s="49"/>
      <c r="J223" s="49"/>
      <c r="K223" s="49"/>
      <c r="L223" s="50"/>
    </row>
    <row r="224" spans="2:12">
      <c r="E224" s="42"/>
      <c r="G224" s="49"/>
      <c r="H224" s="49"/>
      <c r="I224" s="49"/>
      <c r="J224" s="49"/>
      <c r="K224" s="49"/>
      <c r="L224" s="50"/>
    </row>
    <row r="225" spans="5:12">
      <c r="E225" s="42"/>
      <c r="G225" s="49"/>
      <c r="H225" s="49"/>
      <c r="I225" s="49"/>
      <c r="J225" s="49"/>
      <c r="K225" s="52"/>
      <c r="L225" s="52"/>
    </row>
    <row r="226" spans="5:12">
      <c r="E226" s="42"/>
      <c r="G226" s="42"/>
      <c r="K226" s="43"/>
    </row>
    <row r="227" spans="5:12">
      <c r="E227" s="42"/>
      <c r="G227" s="42"/>
      <c r="K227" s="43"/>
    </row>
    <row r="228" spans="5:12">
      <c r="E228" s="42"/>
      <c r="G228" s="42"/>
      <c r="K228" s="43"/>
    </row>
    <row r="229" spans="5:12">
      <c r="E229" s="42"/>
      <c r="G229" s="42"/>
      <c r="K229" s="43"/>
    </row>
    <row r="230" spans="5:12">
      <c r="E230" s="42"/>
      <c r="G230" s="42"/>
      <c r="K230" s="43"/>
    </row>
    <row r="231" spans="5:12">
      <c r="E231" s="42"/>
      <c r="G231" s="42"/>
      <c r="K231" s="43"/>
    </row>
    <row r="232" spans="5:12">
      <c r="E232" s="42"/>
      <c r="G232" s="42"/>
      <c r="K232" s="43"/>
    </row>
    <row r="233" spans="5:12">
      <c r="E233" s="42"/>
      <c r="G233" s="42"/>
      <c r="K233" s="43"/>
    </row>
    <row r="234" spans="5:12">
      <c r="E234" s="42"/>
      <c r="G234" s="42"/>
    </row>
    <row r="235" spans="5:12">
      <c r="E235" s="42"/>
      <c r="G235" s="42"/>
      <c r="K235" s="43"/>
    </row>
    <row r="236" spans="5:12">
      <c r="E236" s="42"/>
      <c r="G236" s="42"/>
    </row>
    <row r="237" spans="5:12">
      <c r="E237" s="42"/>
      <c r="G237" s="42"/>
    </row>
    <row r="238" spans="5:12">
      <c r="E238" s="42"/>
      <c r="G238" s="42"/>
    </row>
    <row r="239" spans="5:12">
      <c r="E239" s="42"/>
      <c r="G239" s="42"/>
    </row>
    <row r="240" spans="5:12">
      <c r="E240" s="42"/>
      <c r="G240" s="42"/>
    </row>
    <row r="241" spans="5:7">
      <c r="E241" s="42"/>
      <c r="G241" s="42"/>
    </row>
    <row r="242" spans="5:7">
      <c r="E242" s="42"/>
      <c r="G242" s="42"/>
    </row>
    <row r="243" spans="5:7">
      <c r="E243" s="42"/>
      <c r="G243" s="42"/>
    </row>
    <row r="244" spans="5:7">
      <c r="E244" s="42"/>
      <c r="G244" s="42"/>
    </row>
    <row r="245" spans="5:7">
      <c r="E245" s="42"/>
      <c r="G245" s="42"/>
    </row>
    <row r="246" spans="5:7">
      <c r="E246" s="42"/>
      <c r="G246" s="42"/>
    </row>
    <row r="247" spans="5:7">
      <c r="E247" s="42"/>
      <c r="G247" s="42"/>
    </row>
    <row r="248" spans="5:7">
      <c r="E248" s="42"/>
      <c r="G248" s="42"/>
    </row>
    <row r="249" spans="5:7">
      <c r="E249" s="42"/>
      <c r="G249" s="42"/>
    </row>
    <row r="250" spans="5:7">
      <c r="E250" s="42"/>
      <c r="G250" s="42"/>
    </row>
    <row r="251" spans="5:7">
      <c r="E251" s="42"/>
      <c r="G251" s="42"/>
    </row>
    <row r="252" spans="5:7">
      <c r="E252" s="42"/>
      <c r="G252" s="42"/>
    </row>
    <row r="253" spans="5:7">
      <c r="E253" s="42"/>
      <c r="G253" s="42"/>
    </row>
    <row r="254" spans="5:7">
      <c r="E254" s="42"/>
      <c r="G254" s="42"/>
    </row>
    <row r="255" spans="5:7">
      <c r="E255" s="42"/>
      <c r="G255" s="42"/>
    </row>
    <row r="256" spans="5:7">
      <c r="E256" s="42"/>
      <c r="G256" s="42"/>
    </row>
    <row r="257" spans="5:7">
      <c r="E257" s="42"/>
      <c r="G257" s="42"/>
    </row>
    <row r="258" spans="5:7">
      <c r="E258" s="42"/>
      <c r="G258" s="42"/>
    </row>
    <row r="259" spans="5:7">
      <c r="E259" s="42"/>
      <c r="G259" s="42"/>
    </row>
    <row r="260" spans="5:7">
      <c r="E260" s="42"/>
      <c r="G260" s="42"/>
    </row>
    <row r="261" spans="5:7">
      <c r="E261" s="42"/>
      <c r="G261" s="42"/>
    </row>
    <row r="262" spans="5:7">
      <c r="E262" s="42"/>
      <c r="G262" s="42"/>
    </row>
    <row r="263" spans="5:7">
      <c r="E263" s="42"/>
      <c r="G263" s="42"/>
    </row>
    <row r="264" spans="5:7">
      <c r="E264" s="42"/>
      <c r="G264" s="42"/>
    </row>
    <row r="265" spans="5:7">
      <c r="E265" s="42"/>
      <c r="G265" s="42"/>
    </row>
    <row r="266" spans="5:7">
      <c r="E266" s="42"/>
      <c r="G266" s="42"/>
    </row>
    <row r="267" spans="5:7">
      <c r="E267" s="42"/>
      <c r="G267" s="42"/>
    </row>
    <row r="268" spans="5:7">
      <c r="E268" s="42"/>
      <c r="G268" s="42"/>
    </row>
    <row r="269" spans="5:7">
      <c r="E269" s="42"/>
      <c r="G269" s="42"/>
    </row>
    <row r="270" spans="5:7">
      <c r="E270" s="42"/>
      <c r="G270" s="42"/>
    </row>
    <row r="271" spans="5:7">
      <c r="E271" s="42"/>
      <c r="G271" s="42"/>
    </row>
    <row r="272" spans="5:7">
      <c r="E272" s="42"/>
      <c r="G272" s="42"/>
    </row>
    <row r="273" spans="5:7">
      <c r="E273" s="42"/>
      <c r="G273" s="42"/>
    </row>
    <row r="274" spans="5:7">
      <c r="E274" s="42"/>
      <c r="G274" s="42"/>
    </row>
    <row r="275" spans="5:7">
      <c r="E275" s="42"/>
      <c r="G275" s="42"/>
    </row>
    <row r="276" spans="5:7">
      <c r="E276" s="42"/>
      <c r="G276" s="42"/>
    </row>
    <row r="277" spans="5:7">
      <c r="E277" s="42"/>
      <c r="G277" s="42"/>
    </row>
    <row r="278" spans="5:7">
      <c r="E278" s="42"/>
      <c r="G278" s="42"/>
    </row>
    <row r="279" spans="5:7">
      <c r="E279" s="42"/>
      <c r="G279" s="42"/>
    </row>
    <row r="280" spans="5:7">
      <c r="E280" s="42"/>
      <c r="G280" s="42"/>
    </row>
    <row r="281" spans="5:7">
      <c r="E281" s="42"/>
      <c r="G281" s="42"/>
    </row>
    <row r="282" spans="5:7">
      <c r="E282" s="42"/>
      <c r="G282" s="42"/>
    </row>
    <row r="283" spans="5:7">
      <c r="E283" s="42"/>
      <c r="G283" s="42"/>
    </row>
    <row r="284" spans="5:7">
      <c r="E284" s="42"/>
      <c r="G284" s="42"/>
    </row>
    <row r="285" spans="5:7">
      <c r="E285" s="42"/>
      <c r="G285" s="42"/>
    </row>
    <row r="286" spans="5:7">
      <c r="E286" s="42"/>
      <c r="G286" s="42"/>
    </row>
    <row r="287" spans="5:7">
      <c r="E287" s="42"/>
      <c r="G287" s="42"/>
    </row>
    <row r="288" spans="5:7">
      <c r="E288" s="42"/>
      <c r="G288" s="42"/>
    </row>
    <row r="289" spans="5:7">
      <c r="E289" s="42"/>
      <c r="G289" s="42"/>
    </row>
    <row r="290" spans="5:7">
      <c r="E290" s="42"/>
      <c r="G290" s="42"/>
    </row>
    <row r="291" spans="5:7">
      <c r="E291" s="42"/>
      <c r="G291" s="42"/>
    </row>
    <row r="292" spans="5:7">
      <c r="E292" s="42"/>
      <c r="G292" s="42"/>
    </row>
    <row r="293" spans="5:7">
      <c r="E293" s="42"/>
      <c r="G293" s="42"/>
    </row>
    <row r="294" spans="5:7">
      <c r="E294" s="42"/>
      <c r="G294" s="42"/>
    </row>
    <row r="295" spans="5:7">
      <c r="E295" s="42"/>
      <c r="G295" s="42"/>
    </row>
    <row r="296" spans="5:7">
      <c r="E296" s="42"/>
      <c r="G296" s="42"/>
    </row>
    <row r="297" spans="5:7">
      <c r="E297" s="42"/>
      <c r="G297" s="42"/>
    </row>
    <row r="298" spans="5:7">
      <c r="E298" s="42"/>
      <c r="G298" s="42"/>
    </row>
    <row r="299" spans="5:7">
      <c r="E299" s="42"/>
      <c r="G299" s="42"/>
    </row>
    <row r="300" spans="5:7">
      <c r="E300" s="42"/>
      <c r="G300" s="42"/>
    </row>
    <row r="301" spans="5:7">
      <c r="E301" s="42"/>
      <c r="G301" s="42"/>
    </row>
    <row r="302" spans="5:7">
      <c r="E302" s="42"/>
      <c r="G302" s="42"/>
    </row>
    <row r="303" spans="5:7">
      <c r="E303" s="42"/>
      <c r="G303" s="42"/>
    </row>
    <row r="304" spans="5:7">
      <c r="E304" s="42"/>
      <c r="G304" s="42"/>
    </row>
    <row r="305" spans="5:7">
      <c r="E305" s="42"/>
      <c r="G305" s="42"/>
    </row>
    <row r="306" spans="5:7">
      <c r="E306" s="42"/>
      <c r="G306" s="42"/>
    </row>
    <row r="307" spans="5:7">
      <c r="E307" s="42"/>
      <c r="G307" s="42"/>
    </row>
    <row r="308" spans="5:7">
      <c r="E308" s="42"/>
      <c r="G308" s="42"/>
    </row>
    <row r="309" spans="5:7">
      <c r="E309" s="42"/>
      <c r="G309" s="42"/>
    </row>
    <row r="310" spans="5:7">
      <c r="E310" s="42"/>
      <c r="G310" s="42"/>
    </row>
    <row r="311" spans="5:7">
      <c r="E311" s="42"/>
      <c r="G311" s="42"/>
    </row>
    <row r="312" spans="5:7">
      <c r="E312" s="42"/>
      <c r="G312" s="42"/>
    </row>
    <row r="313" spans="5:7">
      <c r="E313" s="42"/>
      <c r="G313" s="42"/>
    </row>
    <row r="314" spans="5:7">
      <c r="E314" s="42"/>
      <c r="G314" s="42"/>
    </row>
    <row r="315" spans="5:7">
      <c r="E315" s="42"/>
      <c r="G315" s="42"/>
    </row>
    <row r="316" spans="5:7">
      <c r="E316" s="42"/>
      <c r="G316" s="42"/>
    </row>
    <row r="317" spans="5:7">
      <c r="E317" s="42"/>
      <c r="G317" s="42"/>
    </row>
    <row r="318" spans="5:7">
      <c r="E318" s="42"/>
      <c r="G318" s="42"/>
    </row>
    <row r="319" spans="5:7">
      <c r="E319" s="42"/>
      <c r="G319" s="42"/>
    </row>
    <row r="320" spans="5:7">
      <c r="E320" s="42"/>
      <c r="G320" s="42"/>
    </row>
    <row r="321" spans="5:7">
      <c r="E321" s="42"/>
      <c r="G321" s="42"/>
    </row>
    <row r="322" spans="5:7">
      <c r="E322" s="42"/>
      <c r="G322" s="42"/>
    </row>
    <row r="323" spans="5:7">
      <c r="E323" s="42"/>
      <c r="G323" s="42"/>
    </row>
    <row r="324" spans="5:7">
      <c r="E324" s="42"/>
      <c r="G324" s="42"/>
    </row>
    <row r="325" spans="5:7">
      <c r="E325" s="42"/>
      <c r="G325" s="42"/>
    </row>
    <row r="326" spans="5:7">
      <c r="E326" s="42"/>
      <c r="G326" s="42"/>
    </row>
    <row r="327" spans="5:7">
      <c r="E327" s="42"/>
      <c r="G327" s="42"/>
    </row>
    <row r="328" spans="5:7">
      <c r="E328" s="42"/>
      <c r="G328" s="42"/>
    </row>
    <row r="329" spans="5:7">
      <c r="E329" s="42"/>
      <c r="G329" s="42"/>
    </row>
    <row r="330" spans="5:7">
      <c r="E330" s="42"/>
      <c r="G330" s="42"/>
    </row>
    <row r="331" spans="5:7">
      <c r="E331" s="42"/>
      <c r="G331" s="42"/>
    </row>
    <row r="332" spans="5:7">
      <c r="E332" s="42"/>
      <c r="G332" s="42"/>
    </row>
    <row r="333" spans="5:7">
      <c r="E333" s="42"/>
      <c r="G333" s="42"/>
    </row>
    <row r="334" spans="5:7">
      <c r="E334" s="42"/>
      <c r="G334" s="42"/>
    </row>
    <row r="335" spans="5:7">
      <c r="E335" s="42"/>
      <c r="G335" s="42"/>
    </row>
    <row r="336" spans="5:7">
      <c r="E336" s="42"/>
      <c r="G336" s="42"/>
    </row>
    <row r="337" spans="5:7">
      <c r="E337" s="42"/>
      <c r="G337" s="42"/>
    </row>
    <row r="338" spans="5:7">
      <c r="E338" s="42"/>
      <c r="G338" s="42"/>
    </row>
    <row r="339" spans="5:7">
      <c r="E339" s="42"/>
      <c r="G339" s="42"/>
    </row>
    <row r="340" spans="5:7">
      <c r="E340" s="42"/>
      <c r="G340" s="42"/>
    </row>
    <row r="341" spans="5:7">
      <c r="E341" s="42"/>
      <c r="G341" s="42"/>
    </row>
    <row r="342" spans="5:7">
      <c r="E342" s="42"/>
      <c r="G342" s="42"/>
    </row>
    <row r="343" spans="5:7">
      <c r="E343" s="42"/>
      <c r="G343" s="42"/>
    </row>
    <row r="344" spans="5:7">
      <c r="E344" s="42"/>
      <c r="G344" s="42"/>
    </row>
    <row r="345" spans="5:7">
      <c r="E345" s="42"/>
      <c r="G345" s="42"/>
    </row>
    <row r="346" spans="5:7">
      <c r="E346" s="42"/>
      <c r="G346" s="42"/>
    </row>
    <row r="347" spans="5:7">
      <c r="E347" s="42"/>
      <c r="G347" s="42"/>
    </row>
    <row r="348" spans="5:7">
      <c r="E348" s="42"/>
      <c r="G348" s="42"/>
    </row>
    <row r="349" spans="5:7">
      <c r="E349" s="42"/>
      <c r="G349" s="42"/>
    </row>
    <row r="350" spans="5:7">
      <c r="E350" s="42"/>
      <c r="G350" s="42"/>
    </row>
    <row r="351" spans="5:7">
      <c r="E351" s="42"/>
      <c r="G351" s="42"/>
    </row>
    <row r="352" spans="5:7">
      <c r="E352" s="42"/>
      <c r="G352" s="42"/>
    </row>
    <row r="353" spans="5:7">
      <c r="E353" s="42"/>
      <c r="G353" s="42"/>
    </row>
    <row r="354" spans="5:7">
      <c r="E354" s="42"/>
      <c r="G354" s="42"/>
    </row>
    <row r="355" spans="5:7">
      <c r="E355" s="42"/>
      <c r="G355" s="42"/>
    </row>
    <row r="356" spans="5:7">
      <c r="E356" s="42"/>
      <c r="G356" s="42"/>
    </row>
    <row r="357" spans="5:7">
      <c r="E357" s="42"/>
      <c r="G357" s="42"/>
    </row>
    <row r="358" spans="5:7">
      <c r="E358" s="42"/>
      <c r="G358" s="42"/>
    </row>
    <row r="359" spans="5:7">
      <c r="E359" s="42"/>
      <c r="G359" s="42"/>
    </row>
    <row r="360" spans="5:7">
      <c r="E360" s="42"/>
      <c r="G360" s="42"/>
    </row>
    <row r="361" spans="5:7">
      <c r="E361" s="42"/>
      <c r="G361" s="42"/>
    </row>
    <row r="362" spans="5:7">
      <c r="E362" s="42"/>
      <c r="G362" s="42"/>
    </row>
    <row r="363" spans="5:7">
      <c r="E363" s="42"/>
      <c r="G363" s="42"/>
    </row>
    <row r="364" spans="5:7">
      <c r="E364" s="42"/>
      <c r="G364" s="42"/>
    </row>
    <row r="365" spans="5:7">
      <c r="E365" s="42"/>
      <c r="G365" s="42"/>
    </row>
    <row r="366" spans="5:7">
      <c r="E366" s="42"/>
      <c r="G366" s="42"/>
    </row>
    <row r="367" spans="5:7">
      <c r="E367" s="42"/>
      <c r="G367" s="42"/>
    </row>
    <row r="368" spans="5:7">
      <c r="E368" s="42"/>
      <c r="G368" s="42"/>
    </row>
    <row r="369" spans="5:7">
      <c r="E369" s="42"/>
      <c r="G369" s="42"/>
    </row>
    <row r="370" spans="5:7">
      <c r="E370" s="42"/>
      <c r="G370" s="42"/>
    </row>
    <row r="371" spans="5:7">
      <c r="E371" s="42"/>
      <c r="G371" s="42"/>
    </row>
    <row r="372" spans="5:7">
      <c r="E372" s="42"/>
      <c r="G372" s="42"/>
    </row>
    <row r="373" spans="5:7">
      <c r="E373" s="42"/>
      <c r="G373" s="42"/>
    </row>
    <row r="374" spans="5:7">
      <c r="E374" s="42"/>
      <c r="G374" s="42"/>
    </row>
    <row r="375" spans="5:7">
      <c r="E375" s="42"/>
      <c r="G375" s="42"/>
    </row>
    <row r="376" spans="5:7">
      <c r="E376" s="42"/>
      <c r="G376" s="42"/>
    </row>
    <row r="377" spans="5:7">
      <c r="E377" s="42"/>
      <c r="G377" s="42"/>
    </row>
    <row r="378" spans="5:7">
      <c r="E378" s="42"/>
      <c r="G378" s="42"/>
    </row>
    <row r="379" spans="5:7">
      <c r="E379" s="42"/>
      <c r="G379" s="42"/>
    </row>
    <row r="380" spans="5:7">
      <c r="E380" s="42"/>
      <c r="G380" s="42"/>
    </row>
    <row r="381" spans="5:7">
      <c r="E381" s="42"/>
      <c r="G381" s="42"/>
    </row>
    <row r="382" spans="5:7">
      <c r="E382" s="42"/>
      <c r="G382" s="42"/>
    </row>
    <row r="383" spans="5:7">
      <c r="E383" s="42"/>
      <c r="G383" s="42"/>
    </row>
    <row r="384" spans="5:7">
      <c r="E384" s="42"/>
      <c r="G384" s="42"/>
    </row>
    <row r="385" spans="5:7">
      <c r="E385" s="42"/>
      <c r="G385" s="42"/>
    </row>
    <row r="386" spans="5:7">
      <c r="E386" s="42"/>
      <c r="G386" s="42"/>
    </row>
    <row r="387" spans="5:7">
      <c r="E387" s="42"/>
      <c r="G387" s="42"/>
    </row>
    <row r="388" spans="5:7">
      <c r="E388" s="42"/>
      <c r="G388" s="42"/>
    </row>
    <row r="389" spans="5:7">
      <c r="E389" s="42"/>
      <c r="G389" s="42"/>
    </row>
    <row r="390" spans="5:7">
      <c r="E390" s="42"/>
      <c r="G390" s="42"/>
    </row>
    <row r="391" spans="5:7">
      <c r="E391" s="42"/>
      <c r="G391" s="42"/>
    </row>
    <row r="392" spans="5:7">
      <c r="E392" s="42"/>
      <c r="G392" s="42"/>
    </row>
    <row r="393" spans="5:7">
      <c r="E393" s="42"/>
      <c r="G393" s="42"/>
    </row>
    <row r="394" spans="5:7">
      <c r="E394" s="42"/>
      <c r="G394" s="42"/>
    </row>
    <row r="395" spans="5:7">
      <c r="E395" s="42"/>
      <c r="G395" s="42"/>
    </row>
    <row r="396" spans="5:7">
      <c r="E396" s="42"/>
      <c r="G396" s="42"/>
    </row>
    <row r="397" spans="5:7">
      <c r="E397" s="42"/>
      <c r="G397" s="42"/>
    </row>
    <row r="398" spans="5:7">
      <c r="E398" s="42"/>
      <c r="G398" s="42"/>
    </row>
    <row r="399" spans="5:7">
      <c r="E399" s="42"/>
      <c r="G399" s="42"/>
    </row>
    <row r="400" spans="5:7">
      <c r="E400" s="42"/>
      <c r="G400" s="42"/>
    </row>
    <row r="401" spans="5:7">
      <c r="E401" s="42"/>
      <c r="G401" s="42"/>
    </row>
    <row r="402" spans="5:7">
      <c r="E402" s="42"/>
      <c r="G402" s="42"/>
    </row>
    <row r="403" spans="5:7">
      <c r="E403" s="42"/>
      <c r="G403" s="42"/>
    </row>
    <row r="404" spans="5:7">
      <c r="E404" s="42"/>
      <c r="G404" s="42"/>
    </row>
    <row r="405" spans="5:7">
      <c r="E405" s="42"/>
      <c r="G405" s="42"/>
    </row>
    <row r="406" spans="5:7">
      <c r="E406" s="42"/>
      <c r="G406" s="42"/>
    </row>
    <row r="407" spans="5:7">
      <c r="E407" s="42"/>
      <c r="G407" s="42"/>
    </row>
    <row r="408" spans="5:7">
      <c r="E408" s="42"/>
      <c r="G408" s="42"/>
    </row>
    <row r="409" spans="5:7">
      <c r="E409" s="42"/>
      <c r="G409" s="42"/>
    </row>
    <row r="410" spans="5:7">
      <c r="E410" s="42"/>
      <c r="G410" s="42"/>
    </row>
    <row r="411" spans="5:7">
      <c r="E411" s="42"/>
      <c r="G411" s="42"/>
    </row>
    <row r="412" spans="5:7">
      <c r="E412" s="42"/>
      <c r="G412" s="42"/>
    </row>
    <row r="413" spans="5:7">
      <c r="E413" s="42"/>
      <c r="G413" s="42"/>
    </row>
    <row r="414" spans="5:7">
      <c r="E414" s="42"/>
      <c r="G414" s="42"/>
    </row>
    <row r="415" spans="5:7">
      <c r="E415" s="42"/>
      <c r="G415" s="42"/>
    </row>
    <row r="416" spans="5:7">
      <c r="E416" s="42"/>
      <c r="G416" s="42"/>
    </row>
    <row r="417" spans="5:7">
      <c r="E417" s="42"/>
      <c r="G417" s="42"/>
    </row>
    <row r="418" spans="5:7">
      <c r="E418" s="42"/>
      <c r="G418" s="42"/>
    </row>
    <row r="419" spans="5:7">
      <c r="E419" s="42"/>
      <c r="G419" s="42"/>
    </row>
    <row r="420" spans="5:7">
      <c r="E420" s="42"/>
      <c r="G420" s="42"/>
    </row>
    <row r="421" spans="5:7">
      <c r="E421" s="42"/>
      <c r="G421" s="42"/>
    </row>
    <row r="422" spans="5:7">
      <c r="E422" s="42"/>
      <c r="G422" s="42"/>
    </row>
    <row r="423" spans="5:7">
      <c r="E423" s="42"/>
      <c r="G423" s="42"/>
    </row>
    <row r="424" spans="5:7">
      <c r="E424" s="42"/>
      <c r="G424" s="42"/>
    </row>
    <row r="425" spans="5:7">
      <c r="E425" s="42"/>
      <c r="G425" s="42"/>
    </row>
    <row r="426" spans="5:7">
      <c r="E426" s="42"/>
      <c r="G426" s="42"/>
    </row>
    <row r="427" spans="5:7">
      <c r="E427" s="42"/>
      <c r="G427" s="42"/>
    </row>
    <row r="428" spans="5:7">
      <c r="E428" s="42"/>
      <c r="G428" s="42"/>
    </row>
    <row r="429" spans="5:7">
      <c r="E429" s="42"/>
      <c r="G429" s="42"/>
    </row>
    <row r="430" spans="5:7">
      <c r="E430" s="42"/>
      <c r="G430" s="42"/>
    </row>
    <row r="431" spans="5:7">
      <c r="E431" s="42"/>
      <c r="G431" s="42"/>
    </row>
    <row r="432" spans="5:7">
      <c r="E432" s="42"/>
      <c r="G432" s="42"/>
    </row>
    <row r="433" spans="5:7">
      <c r="E433" s="42"/>
      <c r="G433" s="42"/>
    </row>
    <row r="434" spans="5:7">
      <c r="E434" s="42"/>
      <c r="G434" s="42"/>
    </row>
    <row r="435" spans="5:7">
      <c r="E435" s="42"/>
      <c r="G435" s="42"/>
    </row>
    <row r="436" spans="5:7">
      <c r="E436" s="42"/>
      <c r="G436" s="42"/>
    </row>
    <row r="437" spans="5:7">
      <c r="E437" s="42"/>
      <c r="G437" s="42"/>
    </row>
    <row r="438" spans="5:7">
      <c r="E438" s="42"/>
      <c r="G438" s="42"/>
    </row>
    <row r="439" spans="5:7">
      <c r="E439" s="42"/>
      <c r="G439" s="42"/>
    </row>
    <row r="440" spans="5:7">
      <c r="E440" s="42"/>
      <c r="G440" s="42"/>
    </row>
    <row r="441" spans="5:7">
      <c r="E441" s="42"/>
      <c r="G441" s="42"/>
    </row>
    <row r="442" spans="5:7">
      <c r="E442" s="42"/>
      <c r="G442" s="42"/>
    </row>
    <row r="443" spans="5:7">
      <c r="E443" s="42"/>
      <c r="G443" s="42"/>
    </row>
    <row r="444" spans="5:7">
      <c r="E444" s="42"/>
      <c r="G444" s="42"/>
    </row>
    <row r="445" spans="5:7">
      <c r="E445" s="42"/>
      <c r="G445" s="42"/>
    </row>
    <row r="446" spans="5:7">
      <c r="E446" s="42"/>
      <c r="G446" s="42"/>
    </row>
    <row r="447" spans="5:7">
      <c r="E447" s="42"/>
      <c r="G447" s="42"/>
    </row>
    <row r="448" spans="5:7">
      <c r="E448" s="42"/>
      <c r="G448" s="42"/>
    </row>
    <row r="449" spans="5:7">
      <c r="E449" s="42"/>
      <c r="G449" s="42"/>
    </row>
    <row r="450" spans="5:7">
      <c r="E450" s="42"/>
      <c r="G450" s="42"/>
    </row>
    <row r="451" spans="5:7">
      <c r="E451" s="42"/>
      <c r="G451" s="42"/>
    </row>
    <row r="452" spans="5:7">
      <c r="E452" s="42"/>
      <c r="G452" s="42"/>
    </row>
    <row r="453" spans="5:7">
      <c r="E453" s="42"/>
      <c r="G453" s="42"/>
    </row>
    <row r="454" spans="5:7">
      <c r="E454" s="42"/>
      <c r="G454" s="42"/>
    </row>
    <row r="455" spans="5:7">
      <c r="E455" s="42"/>
      <c r="G455" s="42"/>
    </row>
    <row r="456" spans="5:7">
      <c r="E456" s="42"/>
      <c r="G456" s="42"/>
    </row>
    <row r="457" spans="5:7">
      <c r="E457" s="42"/>
      <c r="G457" s="42"/>
    </row>
    <row r="458" spans="5:7">
      <c r="E458" s="42"/>
      <c r="G458" s="42"/>
    </row>
    <row r="459" spans="5:7">
      <c r="E459" s="42"/>
      <c r="G459" s="42"/>
    </row>
    <row r="460" spans="5:7">
      <c r="E460" s="42"/>
      <c r="G460" s="42"/>
    </row>
    <row r="461" spans="5:7">
      <c r="E461" s="42"/>
      <c r="G461" s="42"/>
    </row>
    <row r="462" spans="5:7">
      <c r="E462" s="42"/>
      <c r="G462" s="42"/>
    </row>
    <row r="463" spans="5:7">
      <c r="E463" s="42"/>
      <c r="G463" s="42"/>
    </row>
    <row r="464" spans="5:7">
      <c r="E464" s="42"/>
      <c r="G464" s="42"/>
    </row>
    <row r="465" spans="5:7">
      <c r="E465" s="42"/>
      <c r="G465" s="42"/>
    </row>
    <row r="466" spans="5:7">
      <c r="E466" s="42"/>
      <c r="G466" s="42"/>
    </row>
    <row r="467" spans="5:7">
      <c r="E467" s="42"/>
      <c r="G467" s="42"/>
    </row>
    <row r="468" spans="5:7">
      <c r="E468" s="42"/>
      <c r="G468" s="42"/>
    </row>
    <row r="469" spans="5:7">
      <c r="E469" s="42"/>
      <c r="G469" s="42"/>
    </row>
    <row r="470" spans="5:7">
      <c r="E470" s="42"/>
      <c r="G470" s="42"/>
    </row>
    <row r="471" spans="5:7">
      <c r="E471" s="42"/>
      <c r="G471" s="42"/>
    </row>
    <row r="472" spans="5:7">
      <c r="E472" s="42"/>
      <c r="G472" s="42"/>
    </row>
    <row r="473" spans="5:7">
      <c r="E473" s="42"/>
      <c r="G473" s="42"/>
    </row>
    <row r="474" spans="5:7">
      <c r="E474" s="42"/>
      <c r="G474" s="42"/>
    </row>
    <row r="475" spans="5:7">
      <c r="E475" s="42"/>
      <c r="G475" s="42"/>
    </row>
    <row r="476" spans="5:7">
      <c r="E476" s="42"/>
      <c r="G476" s="42"/>
    </row>
    <row r="477" spans="5:7">
      <c r="E477" s="42"/>
      <c r="G477" s="42"/>
    </row>
    <row r="478" spans="5:7">
      <c r="E478" s="42"/>
      <c r="G478" s="42"/>
    </row>
    <row r="479" spans="5:7">
      <c r="E479" s="42"/>
      <c r="G479" s="42"/>
    </row>
    <row r="480" spans="5:7">
      <c r="E480" s="42"/>
      <c r="G480" s="42"/>
    </row>
    <row r="481" spans="5:7">
      <c r="E481" s="42"/>
      <c r="G481" s="42"/>
    </row>
    <row r="482" spans="5:7">
      <c r="E482" s="42"/>
      <c r="G482" s="42"/>
    </row>
    <row r="483" spans="5:7">
      <c r="E483" s="42"/>
      <c r="G483" s="42"/>
    </row>
    <row r="484" spans="5:7">
      <c r="E484" s="42"/>
      <c r="G484" s="42"/>
    </row>
    <row r="485" spans="5:7">
      <c r="E485" s="42"/>
      <c r="G485" s="42"/>
    </row>
    <row r="486" spans="5:7">
      <c r="E486" s="42"/>
      <c r="G486" s="42"/>
    </row>
    <row r="487" spans="5:7">
      <c r="E487" s="42"/>
      <c r="G487" s="42"/>
    </row>
    <row r="488" spans="5:7">
      <c r="E488" s="42"/>
      <c r="G488" s="42"/>
    </row>
    <row r="489" spans="5:7">
      <c r="E489" s="42"/>
      <c r="G489" s="42"/>
    </row>
    <row r="490" spans="5:7">
      <c r="E490" s="42"/>
      <c r="G490" s="42"/>
    </row>
    <row r="491" spans="5:7">
      <c r="E491" s="42"/>
      <c r="G491" s="42"/>
    </row>
    <row r="492" spans="5:7">
      <c r="E492" s="42"/>
      <c r="G492" s="42"/>
    </row>
    <row r="493" spans="5:7">
      <c r="E493" s="42"/>
      <c r="G493" s="42"/>
    </row>
    <row r="494" spans="5:7">
      <c r="E494" s="42"/>
      <c r="G494" s="42"/>
    </row>
    <row r="495" spans="5:7">
      <c r="E495" s="42"/>
      <c r="G495" s="42"/>
    </row>
    <row r="496" spans="5:7">
      <c r="E496" s="42"/>
      <c r="G496" s="42"/>
    </row>
    <row r="497" spans="5:7">
      <c r="E497" s="42"/>
      <c r="G497" s="42"/>
    </row>
    <row r="498" spans="5:7">
      <c r="E498" s="42"/>
      <c r="G498" s="42"/>
    </row>
    <row r="499" spans="5:7">
      <c r="E499" s="42"/>
      <c r="G499" s="42"/>
    </row>
    <row r="500" spans="5:7">
      <c r="E500" s="42"/>
      <c r="G500" s="42"/>
    </row>
    <row r="501" spans="5:7">
      <c r="E501" s="42"/>
      <c r="G501" s="42"/>
    </row>
    <row r="502" spans="5:7">
      <c r="E502" s="42"/>
      <c r="G502" s="42"/>
    </row>
    <row r="503" spans="5:7">
      <c r="E503" s="42"/>
      <c r="G503" s="42"/>
    </row>
    <row r="504" spans="5:7">
      <c r="E504" s="42"/>
      <c r="G504" s="42"/>
    </row>
    <row r="505" spans="5:7">
      <c r="E505" s="42"/>
      <c r="G505" s="42"/>
    </row>
    <row r="506" spans="5:7">
      <c r="E506" s="42"/>
      <c r="G506" s="42"/>
    </row>
    <row r="507" spans="5:7">
      <c r="E507" s="42"/>
      <c r="G507" s="42"/>
    </row>
    <row r="508" spans="5:7">
      <c r="E508" s="42"/>
      <c r="G508" s="42"/>
    </row>
    <row r="509" spans="5:7">
      <c r="E509" s="42"/>
      <c r="G509" s="42"/>
    </row>
    <row r="510" spans="5:7">
      <c r="E510" s="42"/>
      <c r="G510" s="42"/>
    </row>
    <row r="511" spans="5:7">
      <c r="E511" s="42"/>
      <c r="G511" s="42"/>
    </row>
    <row r="512" spans="5:7">
      <c r="E512" s="42"/>
      <c r="G512" s="42"/>
    </row>
    <row r="513" spans="5:7">
      <c r="E513" s="42"/>
      <c r="G513" s="42"/>
    </row>
    <row r="514" spans="5:7">
      <c r="E514" s="42"/>
      <c r="G514" s="42"/>
    </row>
    <row r="515" spans="5:7">
      <c r="E515" s="42"/>
      <c r="G515" s="42"/>
    </row>
    <row r="516" spans="5:7">
      <c r="E516" s="42"/>
      <c r="G516" s="42"/>
    </row>
    <row r="517" spans="5:7">
      <c r="E517" s="42"/>
      <c r="G517" s="42"/>
    </row>
    <row r="518" spans="5:7">
      <c r="E518" s="42"/>
      <c r="G518" s="42"/>
    </row>
    <row r="519" spans="5:7">
      <c r="E519" s="42"/>
      <c r="G519" s="42"/>
    </row>
    <row r="520" spans="5:7">
      <c r="E520" s="42"/>
      <c r="G520" s="42"/>
    </row>
    <row r="521" spans="5:7">
      <c r="E521" s="42"/>
      <c r="G521" s="42"/>
    </row>
    <row r="522" spans="5:7">
      <c r="E522" s="42"/>
      <c r="G522" s="42"/>
    </row>
    <row r="523" spans="5:7">
      <c r="E523" s="42"/>
      <c r="G523" s="42"/>
    </row>
    <row r="524" spans="5:7">
      <c r="E524" s="42"/>
      <c r="G524" s="42"/>
    </row>
    <row r="525" spans="5:7">
      <c r="E525" s="42"/>
      <c r="G525" s="42"/>
    </row>
    <row r="526" spans="5:7">
      <c r="E526" s="42"/>
      <c r="G526" s="42"/>
    </row>
    <row r="527" spans="5:7">
      <c r="E527" s="42"/>
      <c r="G527" s="42"/>
    </row>
    <row r="528" spans="5:7">
      <c r="E528" s="42"/>
      <c r="G528" s="42"/>
    </row>
    <row r="529" spans="5:7">
      <c r="E529" s="42"/>
      <c r="G529" s="42"/>
    </row>
    <row r="530" spans="5:7">
      <c r="E530" s="42"/>
      <c r="G530" s="42"/>
    </row>
    <row r="531" spans="5:7">
      <c r="E531" s="42"/>
      <c r="G531" s="42"/>
    </row>
    <row r="532" spans="5:7">
      <c r="E532" s="42"/>
      <c r="G532" s="42"/>
    </row>
    <row r="533" spans="5:7">
      <c r="E533" s="42"/>
      <c r="G533" s="42"/>
    </row>
    <row r="534" spans="5:7">
      <c r="E534" s="42"/>
      <c r="G534" s="42"/>
    </row>
    <row r="535" spans="5:7">
      <c r="E535" s="42"/>
      <c r="G535" s="42"/>
    </row>
    <row r="536" spans="5:7">
      <c r="E536" s="42"/>
      <c r="G536" s="42"/>
    </row>
    <row r="537" spans="5:7">
      <c r="E537" s="42"/>
      <c r="G537" s="42"/>
    </row>
    <row r="538" spans="5:7">
      <c r="E538" s="42"/>
      <c r="G538" s="42"/>
    </row>
    <row r="539" spans="5:7">
      <c r="E539" s="42"/>
      <c r="G539" s="42"/>
    </row>
    <row r="540" spans="5:7">
      <c r="E540" s="42"/>
      <c r="G540" s="42"/>
    </row>
    <row r="541" spans="5:7">
      <c r="E541" s="42"/>
      <c r="G541" s="42"/>
    </row>
    <row r="542" spans="5:7">
      <c r="E542" s="42"/>
      <c r="G542" s="42"/>
    </row>
    <row r="543" spans="5:7">
      <c r="E543" s="42"/>
      <c r="G543" s="42"/>
    </row>
    <row r="544" spans="5:7">
      <c r="E544" s="42"/>
      <c r="G544" s="42"/>
    </row>
    <row r="545" spans="5:7">
      <c r="E545" s="42"/>
      <c r="G545" s="42"/>
    </row>
    <row r="546" spans="5:7">
      <c r="E546" s="42"/>
      <c r="G546" s="42"/>
    </row>
    <row r="547" spans="5:7">
      <c r="E547" s="42"/>
      <c r="G547" s="42"/>
    </row>
    <row r="548" spans="5:7">
      <c r="E548" s="42"/>
      <c r="G548" s="42"/>
    </row>
    <row r="549" spans="5:7">
      <c r="E549" s="42"/>
      <c r="G549" s="42"/>
    </row>
    <row r="550" spans="5:7">
      <c r="E550" s="42"/>
      <c r="G550" s="42"/>
    </row>
    <row r="551" spans="5:7">
      <c r="E551" s="42"/>
      <c r="G551" s="42"/>
    </row>
    <row r="552" spans="5:7">
      <c r="E552" s="42"/>
      <c r="G552" s="42"/>
    </row>
    <row r="553" spans="5:7">
      <c r="E553" s="42"/>
      <c r="G553" s="42"/>
    </row>
    <row r="554" spans="5:7">
      <c r="E554" s="42"/>
      <c r="G554" s="42"/>
    </row>
    <row r="555" spans="5:7">
      <c r="E555" s="42"/>
      <c r="G555" s="42"/>
    </row>
    <row r="556" spans="5:7">
      <c r="E556" s="42"/>
      <c r="G556" s="42"/>
    </row>
    <row r="557" spans="5:7">
      <c r="E557" s="42"/>
      <c r="G557" s="42"/>
    </row>
    <row r="558" spans="5:7">
      <c r="E558" s="42"/>
      <c r="G558" s="42"/>
    </row>
    <row r="559" spans="5:7">
      <c r="E559" s="42"/>
      <c r="G559" s="42"/>
    </row>
    <row r="560" spans="5:7">
      <c r="E560" s="42"/>
      <c r="G560" s="42"/>
    </row>
    <row r="561" spans="5:7">
      <c r="E561" s="42"/>
      <c r="G561" s="42"/>
    </row>
    <row r="562" spans="5:7">
      <c r="E562" s="42"/>
      <c r="G562" s="42"/>
    </row>
    <row r="563" spans="5:7">
      <c r="E563" s="42"/>
      <c r="G563" s="42"/>
    </row>
    <row r="564" spans="5:7">
      <c r="E564" s="42"/>
      <c r="G564" s="42"/>
    </row>
    <row r="565" spans="5:7">
      <c r="E565" s="42"/>
      <c r="G565" s="42"/>
    </row>
    <row r="566" spans="5:7">
      <c r="E566" s="42"/>
      <c r="G566" s="42"/>
    </row>
    <row r="567" spans="5:7">
      <c r="E567" s="42"/>
      <c r="G567" s="42"/>
    </row>
    <row r="568" spans="5:7">
      <c r="E568" s="42"/>
      <c r="G568" s="42"/>
    </row>
    <row r="569" spans="5:7">
      <c r="E569" s="42"/>
      <c r="G569" s="42"/>
    </row>
    <row r="570" spans="5:7">
      <c r="E570" s="42"/>
      <c r="G570" s="42"/>
    </row>
    <row r="571" spans="5:7">
      <c r="E571" s="42"/>
      <c r="G571" s="42"/>
    </row>
    <row r="572" spans="5:7">
      <c r="E572" s="42"/>
      <c r="G572" s="42"/>
    </row>
    <row r="573" spans="5:7">
      <c r="E573" s="42"/>
      <c r="G573" s="42"/>
    </row>
    <row r="574" spans="5:7">
      <c r="E574" s="42"/>
      <c r="G574" s="42"/>
    </row>
    <row r="575" spans="5:7">
      <c r="E575" s="42"/>
      <c r="G575" s="42"/>
    </row>
    <row r="576" spans="5:7">
      <c r="E576" s="42"/>
      <c r="G576" s="42"/>
    </row>
    <row r="577" spans="5:7">
      <c r="E577" s="42"/>
      <c r="G577" s="42"/>
    </row>
    <row r="578" spans="5:7">
      <c r="E578" s="42"/>
      <c r="G578" s="42"/>
    </row>
    <row r="579" spans="5:7">
      <c r="E579" s="42"/>
      <c r="G579" s="42"/>
    </row>
    <row r="580" spans="5:7">
      <c r="E580" s="42"/>
      <c r="G580" s="42"/>
    </row>
    <row r="581" spans="5:7">
      <c r="E581" s="42"/>
      <c r="G581" s="42"/>
    </row>
    <row r="582" spans="5:7">
      <c r="E582" s="42"/>
      <c r="G582" s="42"/>
    </row>
    <row r="583" spans="5:7">
      <c r="E583" s="42"/>
      <c r="G583" s="42"/>
    </row>
    <row r="584" spans="5:7">
      <c r="E584" s="42"/>
      <c r="G584" s="42"/>
    </row>
    <row r="585" spans="5:7">
      <c r="E585" s="42"/>
      <c r="G585" s="42"/>
    </row>
    <row r="586" spans="5:7">
      <c r="E586" s="42"/>
      <c r="G586" s="42"/>
    </row>
    <row r="587" spans="5:7">
      <c r="E587" s="42"/>
      <c r="G587" s="42"/>
    </row>
    <row r="588" spans="5:7">
      <c r="E588" s="42"/>
      <c r="G588" s="42"/>
    </row>
    <row r="589" spans="5:7">
      <c r="E589" s="42"/>
      <c r="G589" s="42"/>
    </row>
    <row r="590" spans="5:7">
      <c r="E590" s="42"/>
      <c r="G590" s="42"/>
    </row>
    <row r="591" spans="5:7">
      <c r="E591" s="42"/>
      <c r="G591" s="42"/>
    </row>
    <row r="592" spans="5:7">
      <c r="E592" s="42"/>
      <c r="G592" s="42"/>
    </row>
    <row r="593" spans="5:7">
      <c r="E593" s="42"/>
      <c r="G593" s="42"/>
    </row>
    <row r="594" spans="5:7">
      <c r="E594" s="42"/>
      <c r="G594" s="42"/>
    </row>
    <row r="595" spans="5:7">
      <c r="E595" s="42"/>
      <c r="G595" s="42"/>
    </row>
    <row r="596" spans="5:7">
      <c r="E596" s="42"/>
      <c r="G596" s="42"/>
    </row>
    <row r="597" spans="5:7">
      <c r="E597" s="42"/>
      <c r="G597" s="42"/>
    </row>
    <row r="598" spans="5:7">
      <c r="E598" s="42"/>
      <c r="G598" s="42"/>
    </row>
    <row r="599" spans="5:7">
      <c r="E599" s="42"/>
      <c r="G599" s="42"/>
    </row>
    <row r="600" spans="5:7">
      <c r="E600" s="42"/>
      <c r="G600" s="42"/>
    </row>
    <row r="601" spans="5:7">
      <c r="E601" s="42"/>
      <c r="G601" s="42"/>
    </row>
    <row r="602" spans="5:7">
      <c r="E602" s="42"/>
      <c r="G602" s="42"/>
    </row>
    <row r="603" spans="5:7">
      <c r="E603" s="42"/>
      <c r="G603" s="42"/>
    </row>
    <row r="604" spans="5:7">
      <c r="E604" s="42"/>
      <c r="G604" s="42"/>
    </row>
    <row r="605" spans="5:7">
      <c r="E605" s="42"/>
      <c r="G605" s="42"/>
    </row>
    <row r="606" spans="5:7">
      <c r="E606" s="42"/>
      <c r="G606" s="42"/>
    </row>
    <row r="607" spans="5:7">
      <c r="E607" s="42"/>
      <c r="G607" s="42"/>
    </row>
    <row r="608" spans="5:7">
      <c r="E608" s="42"/>
      <c r="G608" s="42"/>
    </row>
    <row r="609" spans="5:7">
      <c r="E609" s="42"/>
      <c r="G609" s="42"/>
    </row>
    <row r="610" spans="5:7">
      <c r="E610" s="42"/>
      <c r="G610" s="42"/>
    </row>
    <row r="611" spans="5:7">
      <c r="E611" s="42"/>
      <c r="G611" s="42"/>
    </row>
    <row r="612" spans="5:7">
      <c r="E612" s="42"/>
      <c r="G612" s="42"/>
    </row>
    <row r="613" spans="5:7">
      <c r="E613" s="42"/>
      <c r="G613" s="42"/>
    </row>
    <row r="614" spans="5:7">
      <c r="E614" s="42"/>
      <c r="G614" s="42"/>
    </row>
    <row r="615" spans="5:7">
      <c r="E615" s="42"/>
      <c r="G615" s="42"/>
    </row>
    <row r="616" spans="5:7">
      <c r="E616" s="42"/>
      <c r="G616" s="42"/>
    </row>
    <row r="617" spans="5:7">
      <c r="E617" s="42"/>
      <c r="G617" s="42"/>
    </row>
    <row r="618" spans="5:7">
      <c r="E618" s="42"/>
      <c r="G618" s="42"/>
    </row>
    <row r="619" spans="5:7">
      <c r="E619" s="42"/>
      <c r="G619" s="42"/>
    </row>
    <row r="620" spans="5:7">
      <c r="E620" s="42"/>
      <c r="G620" s="42"/>
    </row>
    <row r="621" spans="5:7">
      <c r="E621" s="42"/>
      <c r="G621" s="42"/>
    </row>
    <row r="622" spans="5:7">
      <c r="E622" s="42"/>
      <c r="G622" s="42"/>
    </row>
    <row r="623" spans="5:7">
      <c r="E623" s="42"/>
      <c r="G623" s="42"/>
    </row>
    <row r="624" spans="5:7">
      <c r="E624" s="42"/>
      <c r="G624" s="42"/>
    </row>
    <row r="625" spans="5:7">
      <c r="E625" s="42"/>
      <c r="G625" s="42"/>
    </row>
    <row r="626" spans="5:7">
      <c r="E626" s="42"/>
      <c r="G626" s="42"/>
    </row>
    <row r="627" spans="5:7">
      <c r="E627" s="42"/>
      <c r="G627" s="42"/>
    </row>
    <row r="628" spans="5:7">
      <c r="E628" s="42"/>
      <c r="G628" s="42"/>
    </row>
    <row r="629" spans="5:7">
      <c r="E629" s="42"/>
      <c r="G629" s="42"/>
    </row>
    <row r="630" spans="5:7">
      <c r="E630" s="42"/>
      <c r="G630" s="42"/>
    </row>
    <row r="631" spans="5:7">
      <c r="E631" s="42"/>
      <c r="G631" s="42"/>
    </row>
    <row r="632" spans="5:7">
      <c r="E632" s="42"/>
      <c r="G632" s="42"/>
    </row>
    <row r="633" spans="5:7">
      <c r="E633" s="42"/>
      <c r="G633" s="42"/>
    </row>
    <row r="634" spans="5:7">
      <c r="E634" s="42"/>
      <c r="G634" s="42"/>
    </row>
    <row r="635" spans="5:7">
      <c r="E635" s="42"/>
      <c r="G635" s="42"/>
    </row>
    <row r="636" spans="5:7">
      <c r="E636" s="42"/>
      <c r="G636" s="42"/>
    </row>
    <row r="637" spans="5:7">
      <c r="E637" s="42"/>
      <c r="G637" s="42"/>
    </row>
    <row r="638" spans="5:7">
      <c r="E638" s="42"/>
      <c r="G638" s="42"/>
    </row>
    <row r="639" spans="5:7">
      <c r="E639" s="42"/>
      <c r="G639" s="42"/>
    </row>
    <row r="640" spans="5:7">
      <c r="E640" s="42"/>
      <c r="G640" s="42"/>
    </row>
    <row r="641" spans="5:7">
      <c r="E641" s="42"/>
      <c r="G641" s="42"/>
    </row>
    <row r="642" spans="5:7">
      <c r="E642" s="42"/>
      <c r="G642" s="42"/>
    </row>
    <row r="643" spans="5:7">
      <c r="E643" s="42"/>
      <c r="G643" s="42"/>
    </row>
    <row r="644" spans="5:7">
      <c r="E644" s="42"/>
      <c r="G644" s="42"/>
    </row>
    <row r="645" spans="5:7">
      <c r="E645" s="42"/>
      <c r="G645" s="42"/>
    </row>
    <row r="646" spans="5:7">
      <c r="E646" s="42"/>
      <c r="G646" s="42"/>
    </row>
    <row r="647" spans="5:7">
      <c r="E647" s="42"/>
      <c r="G647" s="42"/>
    </row>
    <row r="648" spans="5:7">
      <c r="E648" s="42"/>
      <c r="G648" s="42"/>
    </row>
    <row r="649" spans="5:7">
      <c r="E649" s="42"/>
      <c r="G649" s="42"/>
    </row>
    <row r="650" spans="5:7">
      <c r="E650" s="42"/>
      <c r="G650" s="42"/>
    </row>
    <row r="651" spans="5:7">
      <c r="E651" s="42"/>
      <c r="G651" s="42"/>
    </row>
    <row r="652" spans="5:7">
      <c r="E652" s="42"/>
      <c r="G652" s="42"/>
    </row>
    <row r="653" spans="5:7">
      <c r="E653" s="42"/>
      <c r="G653" s="42"/>
    </row>
    <row r="654" spans="5:7">
      <c r="E654" s="42"/>
      <c r="G654" s="42"/>
    </row>
    <row r="655" spans="5:7">
      <c r="E655" s="42"/>
      <c r="G655" s="42"/>
    </row>
    <row r="656" spans="5:7">
      <c r="E656" s="42"/>
      <c r="G656" s="42"/>
    </row>
    <row r="657" spans="5:7">
      <c r="E657" s="42"/>
      <c r="G657" s="42"/>
    </row>
    <row r="658" spans="5:7">
      <c r="E658" s="42"/>
      <c r="G658" s="42"/>
    </row>
    <row r="659" spans="5:7">
      <c r="E659" s="42"/>
      <c r="G659" s="42"/>
    </row>
    <row r="660" spans="5:7">
      <c r="E660" s="42"/>
      <c r="G660" s="42"/>
    </row>
    <row r="661" spans="5:7">
      <c r="E661" s="42"/>
      <c r="G661" s="42"/>
    </row>
    <row r="662" spans="5:7">
      <c r="E662" s="42"/>
      <c r="G662" s="42"/>
    </row>
    <row r="663" spans="5:7">
      <c r="E663" s="42"/>
      <c r="G663" s="42"/>
    </row>
    <row r="664" spans="5:7">
      <c r="E664" s="42"/>
      <c r="G664" s="42"/>
    </row>
    <row r="665" spans="5:7">
      <c r="E665" s="42"/>
      <c r="G665" s="42"/>
    </row>
    <row r="666" spans="5:7">
      <c r="E666" s="42"/>
      <c r="G666" s="42"/>
    </row>
    <row r="667" spans="5:7">
      <c r="E667" s="42"/>
      <c r="G667" s="42"/>
    </row>
    <row r="668" spans="5:7">
      <c r="E668" s="42"/>
      <c r="G668" s="42"/>
    </row>
    <row r="669" spans="5:7">
      <c r="E669" s="42"/>
      <c r="G669" s="42"/>
    </row>
    <row r="670" spans="5:7">
      <c r="E670" s="42"/>
      <c r="G670" s="42"/>
    </row>
    <row r="671" spans="5:7">
      <c r="E671" s="42"/>
      <c r="G671" s="42"/>
    </row>
    <row r="672" spans="5:7">
      <c r="E672" s="42"/>
      <c r="G672" s="42"/>
    </row>
    <row r="673" spans="5:7">
      <c r="E673" s="42"/>
      <c r="G673" s="42"/>
    </row>
    <row r="674" spans="5:7">
      <c r="E674" s="42"/>
      <c r="G674" s="42"/>
    </row>
    <row r="675" spans="5:7">
      <c r="E675" s="42"/>
      <c r="G675" s="42"/>
    </row>
    <row r="676" spans="5:7">
      <c r="E676" s="42"/>
      <c r="G676" s="42"/>
    </row>
    <row r="677" spans="5:7">
      <c r="E677" s="42"/>
      <c r="G677" s="42"/>
    </row>
    <row r="678" spans="5:7">
      <c r="E678" s="42"/>
      <c r="G678" s="42"/>
    </row>
    <row r="679" spans="5:7">
      <c r="E679" s="42"/>
      <c r="G679" s="42"/>
    </row>
    <row r="680" spans="5:7">
      <c r="E680" s="42"/>
      <c r="G680" s="42"/>
    </row>
    <row r="681" spans="5:7">
      <c r="E681" s="42"/>
      <c r="G681" s="42"/>
    </row>
    <row r="682" spans="5:7">
      <c r="E682" s="42"/>
      <c r="G682" s="42"/>
    </row>
    <row r="683" spans="5:7">
      <c r="E683" s="42"/>
      <c r="G683" s="42"/>
    </row>
    <row r="684" spans="5:7">
      <c r="E684" s="42"/>
      <c r="G684" s="42"/>
    </row>
    <row r="685" spans="5:7">
      <c r="E685" s="42"/>
      <c r="G685" s="42"/>
    </row>
    <row r="686" spans="5:7">
      <c r="E686" s="42"/>
      <c r="G686" s="42"/>
    </row>
    <row r="687" spans="5:7">
      <c r="E687" s="42"/>
      <c r="G687" s="42"/>
    </row>
    <row r="688" spans="5:7">
      <c r="E688" s="42"/>
      <c r="G688" s="42"/>
    </row>
    <row r="689" spans="5:7">
      <c r="E689" s="42"/>
      <c r="G689" s="42"/>
    </row>
    <row r="690" spans="5:7">
      <c r="E690" s="42"/>
      <c r="G690" s="42"/>
    </row>
    <row r="691" spans="5:7">
      <c r="E691" s="42"/>
      <c r="G691" s="42"/>
    </row>
    <row r="692" spans="5:7">
      <c r="E692" s="42"/>
      <c r="G692" s="42"/>
    </row>
    <row r="693" spans="5:7">
      <c r="E693" s="42"/>
      <c r="G693" s="42"/>
    </row>
    <row r="694" spans="5:7">
      <c r="E694" s="42"/>
      <c r="G694" s="42"/>
    </row>
    <row r="695" spans="5:7">
      <c r="E695" s="42"/>
      <c r="G695" s="42"/>
    </row>
    <row r="696" spans="5:7">
      <c r="E696" s="42"/>
      <c r="G696" s="42"/>
    </row>
    <row r="697" spans="5:7">
      <c r="E697" s="42"/>
      <c r="G697" s="42"/>
    </row>
    <row r="698" spans="5:7">
      <c r="E698" s="42"/>
      <c r="G698" s="42"/>
    </row>
    <row r="699" spans="5:7">
      <c r="E699" s="42"/>
      <c r="G699" s="42"/>
    </row>
    <row r="700" spans="5:7">
      <c r="E700" s="42"/>
      <c r="G700" s="42"/>
    </row>
    <row r="701" spans="5:7">
      <c r="E701" s="42"/>
      <c r="G701" s="42"/>
    </row>
    <row r="702" spans="5:7">
      <c r="E702" s="42"/>
      <c r="G702" s="42"/>
    </row>
    <row r="703" spans="5:7">
      <c r="E703" s="42"/>
      <c r="G703" s="42"/>
    </row>
    <row r="704" spans="5:7">
      <c r="E704" s="42"/>
      <c r="G704" s="42"/>
    </row>
    <row r="705" spans="5:7">
      <c r="E705" s="42"/>
      <c r="G705" s="42"/>
    </row>
    <row r="706" spans="5:7">
      <c r="E706" s="42"/>
      <c r="G706" s="42"/>
    </row>
    <row r="707" spans="5:7">
      <c r="E707" s="42"/>
      <c r="G707" s="42"/>
    </row>
    <row r="708" spans="5:7">
      <c r="E708" s="42"/>
      <c r="G708" s="42"/>
    </row>
    <row r="709" spans="5:7">
      <c r="E709" s="42"/>
      <c r="G709" s="42"/>
    </row>
    <row r="710" spans="5:7">
      <c r="E710" s="42"/>
      <c r="G710" s="42"/>
    </row>
    <row r="711" spans="5:7">
      <c r="E711" s="42"/>
      <c r="G711" s="42"/>
    </row>
    <row r="712" spans="5:7">
      <c r="E712" s="42"/>
      <c r="G712" s="42"/>
    </row>
    <row r="713" spans="5:7">
      <c r="E713" s="42"/>
      <c r="G713" s="42"/>
    </row>
    <row r="714" spans="5:7">
      <c r="E714" s="42"/>
      <c r="G714" s="42"/>
    </row>
    <row r="715" spans="5:7">
      <c r="E715" s="42"/>
      <c r="G715" s="42"/>
    </row>
    <row r="716" spans="5:7">
      <c r="E716" s="42"/>
      <c r="G716" s="42"/>
    </row>
    <row r="717" spans="5:7">
      <c r="E717" s="42"/>
      <c r="G717" s="42"/>
    </row>
    <row r="718" spans="5:7">
      <c r="E718" s="42"/>
      <c r="G718" s="42"/>
    </row>
    <row r="719" spans="5:7">
      <c r="E719" s="42"/>
      <c r="G719" s="42"/>
    </row>
    <row r="720" spans="5:7">
      <c r="E720" s="42"/>
      <c r="G720" s="42"/>
    </row>
    <row r="721" spans="5:7">
      <c r="E721" s="42"/>
      <c r="G721" s="42"/>
    </row>
    <row r="722" spans="5:7">
      <c r="E722" s="42"/>
      <c r="G722" s="42"/>
    </row>
    <row r="723" spans="5:7">
      <c r="E723" s="42"/>
      <c r="G723" s="42"/>
    </row>
    <row r="724" spans="5:7">
      <c r="E724" s="42"/>
      <c r="G724" s="42"/>
    </row>
    <row r="725" spans="5:7">
      <c r="E725" s="42"/>
      <c r="G725" s="42"/>
    </row>
    <row r="726" spans="5:7">
      <c r="E726" s="42"/>
      <c r="G726" s="42"/>
    </row>
    <row r="727" spans="5:7">
      <c r="E727" s="42"/>
      <c r="G727" s="42"/>
    </row>
    <row r="728" spans="5:7">
      <c r="E728" s="42"/>
      <c r="G728" s="42"/>
    </row>
    <row r="729" spans="5:7">
      <c r="E729" s="42"/>
      <c r="G729" s="42"/>
    </row>
    <row r="730" spans="5:7">
      <c r="E730" s="42"/>
      <c r="G730" s="42"/>
    </row>
    <row r="731" spans="5:7">
      <c r="E731" s="42"/>
      <c r="G731" s="42"/>
    </row>
    <row r="732" spans="5:7">
      <c r="E732" s="42"/>
      <c r="G732" s="42"/>
    </row>
    <row r="733" spans="5:7">
      <c r="E733" s="42"/>
      <c r="G733" s="42"/>
    </row>
    <row r="734" spans="5:7">
      <c r="E734" s="42"/>
      <c r="G734" s="42"/>
    </row>
    <row r="735" spans="5:7">
      <c r="E735" s="42"/>
      <c r="G735" s="42"/>
    </row>
    <row r="736" spans="5:7">
      <c r="E736" s="42"/>
      <c r="G736" s="42"/>
    </row>
    <row r="737" spans="5:7">
      <c r="E737" s="42"/>
      <c r="G737" s="42"/>
    </row>
    <row r="738" spans="5:7">
      <c r="E738" s="42"/>
      <c r="G738" s="42"/>
    </row>
    <row r="739" spans="5:7">
      <c r="E739" s="42"/>
      <c r="G739" s="42"/>
    </row>
    <row r="740" spans="5:7">
      <c r="E740" s="42"/>
      <c r="G740" s="42"/>
    </row>
    <row r="741" spans="5:7">
      <c r="E741" s="42"/>
      <c r="G741" s="42"/>
    </row>
    <row r="742" spans="5:7">
      <c r="E742" s="42"/>
      <c r="G742" s="42"/>
    </row>
    <row r="743" spans="5:7">
      <c r="E743" s="42"/>
      <c r="G743" s="42"/>
    </row>
    <row r="744" spans="5:7">
      <c r="E744" s="42"/>
      <c r="G744" s="42"/>
    </row>
    <row r="745" spans="5:7">
      <c r="E745" s="42"/>
      <c r="G745" s="42"/>
    </row>
    <row r="746" spans="5:7">
      <c r="E746" s="42"/>
      <c r="G746" s="42"/>
    </row>
    <row r="747" spans="5:7">
      <c r="E747" s="42"/>
      <c r="G747" s="42"/>
    </row>
    <row r="748" spans="5:7">
      <c r="E748" s="42"/>
      <c r="G748" s="42"/>
    </row>
    <row r="749" spans="5:7">
      <c r="E749" s="42"/>
      <c r="G749" s="42"/>
    </row>
    <row r="750" spans="5:7">
      <c r="E750" s="42"/>
      <c r="G750" s="42"/>
    </row>
    <row r="751" spans="5:7">
      <c r="E751" s="42"/>
      <c r="G751" s="42"/>
    </row>
    <row r="752" spans="5:7">
      <c r="E752" s="42"/>
      <c r="G752" s="42"/>
    </row>
    <row r="753" spans="5:7">
      <c r="E753" s="42"/>
      <c r="G753" s="42"/>
    </row>
    <row r="754" spans="5:7">
      <c r="E754" s="42"/>
      <c r="G754" s="42"/>
    </row>
    <row r="755" spans="5:7">
      <c r="E755" s="42"/>
      <c r="G755" s="42"/>
    </row>
    <row r="756" spans="5:7">
      <c r="E756" s="42"/>
      <c r="G756" s="42"/>
    </row>
    <row r="757" spans="5:7">
      <c r="E757" s="42"/>
      <c r="G757" s="42"/>
    </row>
    <row r="758" spans="5:7">
      <c r="E758" s="42"/>
      <c r="G758" s="42"/>
    </row>
    <row r="759" spans="5:7">
      <c r="E759" s="42"/>
      <c r="G759" s="42"/>
    </row>
    <row r="760" spans="5:7">
      <c r="E760" s="42"/>
      <c r="G760" s="42"/>
    </row>
    <row r="761" spans="5:7">
      <c r="E761" s="42"/>
      <c r="G761" s="42"/>
    </row>
    <row r="762" spans="5:7">
      <c r="E762" s="42"/>
      <c r="G762" s="42"/>
    </row>
    <row r="763" spans="5:7">
      <c r="E763" s="42"/>
      <c r="G763" s="42"/>
    </row>
    <row r="764" spans="5:7">
      <c r="E764" s="42"/>
      <c r="G764" s="42"/>
    </row>
    <row r="765" spans="5:7">
      <c r="E765" s="42"/>
      <c r="G765" s="42"/>
    </row>
    <row r="766" spans="5:7">
      <c r="E766" s="42"/>
      <c r="G766" s="42"/>
    </row>
    <row r="767" spans="5:7">
      <c r="E767" s="42"/>
      <c r="G767" s="42"/>
    </row>
    <row r="768" spans="5:7">
      <c r="E768" s="42"/>
      <c r="G768" s="42"/>
    </row>
    <row r="769" spans="5:7">
      <c r="E769" s="42"/>
      <c r="G769" s="42"/>
    </row>
    <row r="770" spans="5:7">
      <c r="E770" s="42"/>
      <c r="G770" s="42"/>
    </row>
    <row r="771" spans="5:7">
      <c r="E771" s="42"/>
      <c r="G771" s="42"/>
    </row>
    <row r="772" spans="5:7">
      <c r="E772" s="42"/>
      <c r="G772" s="42"/>
    </row>
    <row r="773" spans="5:7">
      <c r="E773" s="42"/>
      <c r="G773" s="42"/>
    </row>
  </sheetData>
  <mergeCells count="7">
    <mergeCell ref="A194:XFD217"/>
    <mergeCell ref="O1:XFD1"/>
    <mergeCell ref="O2:BK193"/>
    <mergeCell ref="A100:I128"/>
    <mergeCell ref="A130:I155"/>
    <mergeCell ref="A157:I172"/>
    <mergeCell ref="A174:I192"/>
  </mergeCells>
  <conditionalFormatting sqref="L225:L233">
    <cfRule type="containsText" dxfId="2" priority="1" operator="containsText" text="Этот">
      <formula>NOT(ISERROR(SEARCH("Этот",L225)))</formula>
    </cfRule>
    <cfRule type="containsText" dxfId="1" priority="3" operator="containsText" text="Эту">
      <formula>NOT(ISERROR(SEARCH("Эту",L225)))</formula>
    </cfRule>
  </conditionalFormatting>
  <conditionalFormatting sqref="L235">
    <cfRule type="containsText" dxfId="0" priority="2" operator="containsText" text="Да">
      <formula>NOT(ISERROR(SEARCH("Да",L235)))</formula>
    </cfRule>
  </conditionalFormatting>
  <dataValidations count="1">
    <dataValidation type="list" allowBlank="1" showInputMessage="1" showErrorMessage="1" sqref="L3 L23 L42 L63 L84 L101 L131 L158 L175">
      <formula1>$K$219:$K$220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Одежда</vt:lpstr>
      <vt:lpstr>Справочники</vt:lpstr>
      <vt:lpstr>ТНВЭД</vt:lpstr>
      <vt:lpstr>Этикетки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WalrusQP</dc:creator>
  <cp:lastModifiedBy>Alqiviad</cp:lastModifiedBy>
  <dcterms:created xsi:type="dcterms:W3CDTF">2015-06-05T18:19:34Z</dcterms:created>
  <dcterms:modified xsi:type="dcterms:W3CDTF">2025-01-21T11:13:58Z</dcterms:modified>
</cp:coreProperties>
</file>